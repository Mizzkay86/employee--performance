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dministrator\Downloads\"/>
    </mc:Choice>
  </mc:AlternateContent>
  <xr:revisionPtr revIDLastSave="0" documentId="8_{9B058363-D09A-4BC5-9E23-6A893CAB6955}" xr6:coauthVersionLast="47" xr6:coauthVersionMax="47" xr10:uidLastSave="{00000000-0000-0000-0000-000000000000}"/>
  <bookViews>
    <workbookView xWindow="-110" yWindow="-110" windowWidth="19420" windowHeight="10300" activeTab="1" xr2:uid="{00000000-000D-0000-FFFF-FFFF00000000}"/>
  </bookViews>
  <sheets>
    <sheet name="pivot table" sheetId="3" r:id="rId1"/>
    <sheet name="Dashboard" sheetId="4" r:id="rId2"/>
    <sheet name="pivot 2" sheetId="5" r:id="rId3"/>
    <sheet name="Employee_Performance_Raw" sheetId="1" r:id="rId4"/>
  </sheets>
  <definedNames>
    <definedName name="Slicer_Department">#N/A</definedName>
    <definedName name="Slicer_Job_Level">#N/A</definedName>
    <definedName name="Slicer_Work_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4" l="1"/>
  <c r="F14" i="4"/>
</calcChain>
</file>

<file path=xl/sharedStrings.xml><?xml version="1.0" encoding="utf-8"?>
<sst xmlns="http://schemas.openxmlformats.org/spreadsheetml/2006/main" count="459" uniqueCount="70">
  <si>
    <t>Employee_ID</t>
  </si>
  <si>
    <t>Employee_Name</t>
  </si>
  <si>
    <t>Department</t>
  </si>
  <si>
    <t>Job_Level</t>
  </si>
  <si>
    <t>Hire_Date</t>
  </si>
  <si>
    <t>Monthly_Salary</t>
  </si>
  <si>
    <t>Performance_Score</t>
  </si>
  <si>
    <t>Work_Location</t>
  </si>
  <si>
    <t>EMP102</t>
  </si>
  <si>
    <t>Ngozi Nwosu</t>
  </si>
  <si>
    <t>Abuja</t>
  </si>
  <si>
    <t>EMP131</t>
  </si>
  <si>
    <t>Chinedu Eze</t>
  </si>
  <si>
    <t>Mid-Level</t>
  </si>
  <si>
    <t>EMP129</t>
  </si>
  <si>
    <t>Junior</t>
  </si>
  <si>
    <t>Remote</t>
  </si>
  <si>
    <t>EMP130</t>
  </si>
  <si>
    <t>Lagos</t>
  </si>
  <si>
    <t>EMP112</t>
  </si>
  <si>
    <t>EMP137</t>
  </si>
  <si>
    <t>HR</t>
  </si>
  <si>
    <t>EMP121</t>
  </si>
  <si>
    <t>IT</t>
  </si>
  <si>
    <t>EMP116</t>
  </si>
  <si>
    <t>EMP128</t>
  </si>
  <si>
    <t>FINANCE</t>
  </si>
  <si>
    <t>Samuel Ade</t>
  </si>
  <si>
    <t>EMP123</t>
  </si>
  <si>
    <t>Senior</t>
  </si>
  <si>
    <t>EMP138</t>
  </si>
  <si>
    <t>EMP139</t>
  </si>
  <si>
    <t>EMP107</t>
  </si>
  <si>
    <t>EMP133</t>
  </si>
  <si>
    <t>EMP106</t>
  </si>
  <si>
    <t>EMP104</t>
  </si>
  <si>
    <t>EMP113</t>
  </si>
  <si>
    <t>EMP119</t>
  </si>
  <si>
    <t>Zainab Ali</t>
  </si>
  <si>
    <t>EMP124</t>
  </si>
  <si>
    <t>EMP117</t>
  </si>
  <si>
    <t>EMP127</t>
  </si>
  <si>
    <t>EMP126</t>
  </si>
  <si>
    <t>EMP109</t>
  </si>
  <si>
    <t>EMP105</t>
  </si>
  <si>
    <t>EMP120</t>
  </si>
  <si>
    <t>EMP132</t>
  </si>
  <si>
    <t>EMP103</t>
  </si>
  <si>
    <t>EMP111</t>
  </si>
  <si>
    <t>EMP115</t>
  </si>
  <si>
    <t>EMP135</t>
  </si>
  <si>
    <t>EMP134</t>
  </si>
  <si>
    <t>EMP118</t>
  </si>
  <si>
    <t>EMP110</t>
  </si>
  <si>
    <t>EMP140</t>
  </si>
  <si>
    <t>Ada Okeke</t>
  </si>
  <si>
    <t>Ibrahim Lawal</t>
  </si>
  <si>
    <t>Sophia Kim</t>
  </si>
  <si>
    <t>Michael Brown</t>
  </si>
  <si>
    <t>Daniel Johnson</t>
  </si>
  <si>
    <t>Grace Musa</t>
  </si>
  <si>
    <t>NA</t>
  </si>
  <si>
    <t>OPERATIONS</t>
  </si>
  <si>
    <t>Max. of Monthly_Salary</t>
  </si>
  <si>
    <t>Min. of Monthly_Salary</t>
  </si>
  <si>
    <t>Row Labels</t>
  </si>
  <si>
    <t>Grand Total</t>
  </si>
  <si>
    <t>Sum of Performance_Score</t>
  </si>
  <si>
    <t>Count of Employee_Name</t>
  </si>
  <si>
    <t>Count of Monthly_Salary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</si>
</sst>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m/d/yyyy"/>
    </dxf>
  </dxfs>
  <tableStyles count="1" defaultTableStyle="TableStyleMedium9" defaultPivotStyle="PivotStyleLight16">
    <tableStyle name="Invisible" pivot="0" table="0" count="0" xr9:uid="{DE571789-FF39-480D-8469-38552D9AB8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Score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29837680904415E-2"/>
          <c:y val="0.26328475731578327"/>
          <c:w val="0.78645603674540687"/>
          <c:h val="0.39661745406824145"/>
        </c:manualLayout>
      </c:layout>
      <c:bar3DChart>
        <c:barDir val="col"/>
        <c:grouping val="clustered"/>
        <c:varyColors val="0"/>
        <c:ser>
          <c:idx val="0"/>
          <c:order val="0"/>
          <c:tx>
            <c:strRef>
              <c:f>'pivot table'!$D$3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table'!$C$4:$C$9</c:f>
              <c:strCache>
                <c:ptCount val="5"/>
                <c:pt idx="0">
                  <c:v>NA</c:v>
                </c:pt>
                <c:pt idx="1">
                  <c:v>HR</c:v>
                </c:pt>
                <c:pt idx="2">
                  <c:v>FINANCE</c:v>
                </c:pt>
                <c:pt idx="3">
                  <c:v>OPERATIONS</c:v>
                </c:pt>
                <c:pt idx="4">
                  <c:v>IT</c:v>
                </c:pt>
              </c:strCache>
            </c:strRef>
          </c:cat>
          <c:val>
            <c:numRef>
              <c:f>'pivot table'!$D$4:$D$9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0-8452-4182-B4CD-8FC27D105148}"/>
            </c:ext>
          </c:extLst>
        </c:ser>
        <c:dLbls>
          <c:showLegendKey val="0"/>
          <c:showVal val="1"/>
          <c:showCatName val="0"/>
          <c:showSerName val="0"/>
          <c:showPercent val="0"/>
          <c:showBubbleSize val="0"/>
        </c:dLbls>
        <c:gapWidth val="150"/>
        <c:shape val="box"/>
        <c:axId val="1541414976"/>
        <c:axId val="1541415456"/>
        <c:axId val="0"/>
      </c:bar3DChart>
      <c:catAx>
        <c:axId val="154141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15456"/>
        <c:crosses val="autoZero"/>
        <c:auto val="1"/>
        <c:lblAlgn val="ctr"/>
        <c:lblOffset val="100"/>
        <c:noMultiLvlLbl val="0"/>
      </c:catAx>
      <c:valAx>
        <c:axId val="1541415456"/>
        <c:scaling>
          <c:orientation val="minMax"/>
        </c:scaling>
        <c:delete val="1"/>
        <c:axPos val="l"/>
        <c:numFmt formatCode="General" sourceLinked="1"/>
        <c:majorTickMark val="none"/>
        <c:minorTickMark val="none"/>
        <c:tickLblPos val="nextTo"/>
        <c:crossAx val="15414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301886792452828E-2"/>
          <c:y val="0.28578252098652956"/>
          <c:w val="0.70264150943396231"/>
          <c:h val="0.62606320904101864"/>
        </c:manualLayout>
      </c:layout>
      <c:pie3DChart>
        <c:varyColors val="1"/>
        <c:ser>
          <c:idx val="0"/>
          <c:order val="0"/>
          <c:tx>
            <c:strRef>
              <c:f>'pivot 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64-4FAB-B76A-8BE0384E398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64-4FAB-B76A-8BE0384E398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64-4FAB-B76A-8BE0384E398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Abuja</c:v>
                </c:pt>
                <c:pt idx="1">
                  <c:v>Lagos</c:v>
                </c:pt>
                <c:pt idx="2">
                  <c:v>Remote</c:v>
                </c:pt>
              </c:strCache>
            </c:strRef>
          </c:cat>
          <c:val>
            <c:numRef>
              <c:f>'pivot table'!$B$13:$B$16</c:f>
              <c:numCache>
                <c:formatCode>General</c:formatCode>
                <c:ptCount val="3"/>
                <c:pt idx="0">
                  <c:v>28</c:v>
                </c:pt>
                <c:pt idx="1">
                  <c:v>25</c:v>
                </c:pt>
                <c:pt idx="2">
                  <c:v>31</c:v>
                </c:pt>
              </c:numCache>
            </c:numRef>
          </c:val>
          <c:extLst>
            <c:ext xmlns:c16="http://schemas.microsoft.com/office/drawing/2014/chart" uri="{C3380CC4-5D6E-409C-BE32-E72D297353CC}">
              <c16:uniqueId val="{00000000-8316-4A6F-8C9C-46E0B4F35357}"/>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Level by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71128608923883"/>
          <c:y val="0.19486111111111112"/>
          <c:w val="0.70295538057742779"/>
          <c:h val="0.72088764946048411"/>
        </c:manualLayout>
      </c:layout>
      <c:bar3DChart>
        <c:barDir val="bar"/>
        <c:grouping val="clustered"/>
        <c:varyColors val="0"/>
        <c:ser>
          <c:idx val="0"/>
          <c:order val="0"/>
          <c:tx>
            <c:strRef>
              <c:f>'pivot table'!$C$19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table'!$B$20:$B$23</c:f>
              <c:strCache>
                <c:ptCount val="3"/>
                <c:pt idx="0">
                  <c:v>Junior</c:v>
                </c:pt>
                <c:pt idx="1">
                  <c:v>Mid-Level</c:v>
                </c:pt>
                <c:pt idx="2">
                  <c:v>Senior</c:v>
                </c:pt>
              </c:strCache>
            </c:strRef>
          </c:cat>
          <c:val>
            <c:numRef>
              <c:f>'pivot table'!$C$20:$C$23</c:f>
              <c:numCache>
                <c:formatCode>General</c:formatCode>
                <c:ptCount val="3"/>
                <c:pt idx="0">
                  <c:v>33</c:v>
                </c:pt>
                <c:pt idx="1">
                  <c:v>25</c:v>
                </c:pt>
                <c:pt idx="2">
                  <c:v>26</c:v>
                </c:pt>
              </c:numCache>
            </c:numRef>
          </c:val>
          <c:extLst>
            <c:ext xmlns:c16="http://schemas.microsoft.com/office/drawing/2014/chart" uri="{C3380CC4-5D6E-409C-BE32-E72D297353CC}">
              <c16:uniqueId val="{00000000-2B1E-4387-A376-CD2803F5B78F}"/>
            </c:ext>
          </c:extLst>
        </c:ser>
        <c:dLbls>
          <c:showLegendKey val="0"/>
          <c:showVal val="1"/>
          <c:showCatName val="0"/>
          <c:showSerName val="0"/>
          <c:showPercent val="0"/>
          <c:showBubbleSize val="0"/>
        </c:dLbls>
        <c:gapWidth val="150"/>
        <c:shape val="box"/>
        <c:axId val="1158129760"/>
        <c:axId val="1158138880"/>
        <c:axId val="0"/>
      </c:bar3DChart>
      <c:catAx>
        <c:axId val="115812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38880"/>
        <c:crosses val="autoZero"/>
        <c:auto val="1"/>
        <c:lblAlgn val="ctr"/>
        <c:lblOffset val="100"/>
        <c:noMultiLvlLbl val="0"/>
      </c:catAx>
      <c:valAx>
        <c:axId val="115813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Score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711786513067195E-2"/>
          <c:y val="0.24873929849677884"/>
          <c:w val="0.78645603674540687"/>
          <c:h val="0.39661745406824145"/>
        </c:manualLayout>
      </c:layout>
      <c:bar3DChart>
        <c:barDir val="col"/>
        <c:grouping val="clustered"/>
        <c:varyColors val="0"/>
        <c:ser>
          <c:idx val="0"/>
          <c:order val="0"/>
          <c:tx>
            <c:strRef>
              <c:f>'pivot table'!$D$3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table'!$C$4:$C$9</c:f>
              <c:strCache>
                <c:ptCount val="5"/>
                <c:pt idx="0">
                  <c:v>NA</c:v>
                </c:pt>
                <c:pt idx="1">
                  <c:v>HR</c:v>
                </c:pt>
                <c:pt idx="2">
                  <c:v>FINANCE</c:v>
                </c:pt>
                <c:pt idx="3">
                  <c:v>OPERATIONS</c:v>
                </c:pt>
                <c:pt idx="4">
                  <c:v>IT</c:v>
                </c:pt>
              </c:strCache>
            </c:strRef>
          </c:cat>
          <c:val>
            <c:numRef>
              <c:f>'pivot table'!$D$4:$D$9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0-DC70-415C-B4CA-91BFD12CA2AF}"/>
            </c:ext>
          </c:extLst>
        </c:ser>
        <c:dLbls>
          <c:showLegendKey val="0"/>
          <c:showVal val="1"/>
          <c:showCatName val="0"/>
          <c:showSerName val="0"/>
          <c:showPercent val="0"/>
          <c:showBubbleSize val="0"/>
        </c:dLbls>
        <c:gapWidth val="150"/>
        <c:shape val="box"/>
        <c:axId val="1541414976"/>
        <c:axId val="1541415456"/>
        <c:axId val="0"/>
      </c:bar3DChart>
      <c:catAx>
        <c:axId val="154141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15456"/>
        <c:crosses val="autoZero"/>
        <c:auto val="1"/>
        <c:lblAlgn val="ctr"/>
        <c:lblOffset val="100"/>
        <c:noMultiLvlLbl val="0"/>
      </c:catAx>
      <c:valAx>
        <c:axId val="1541415456"/>
        <c:scaling>
          <c:orientation val="minMax"/>
        </c:scaling>
        <c:delete val="1"/>
        <c:axPos val="l"/>
        <c:numFmt formatCode="General" sourceLinked="1"/>
        <c:majorTickMark val="none"/>
        <c:minorTickMark val="none"/>
        <c:tickLblPos val="nextTo"/>
        <c:crossAx val="15414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301886792452828E-2"/>
          <c:y val="0.28578252098652956"/>
          <c:w val="0.70264150943396231"/>
          <c:h val="0.62606320904101864"/>
        </c:manualLayout>
      </c:layout>
      <c:pie3DChart>
        <c:varyColors val="1"/>
        <c:ser>
          <c:idx val="0"/>
          <c:order val="0"/>
          <c:tx>
            <c:strRef>
              <c:f>'pivot 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65-4BFB-8338-B56E6346CF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65-4BFB-8338-B56E6346CF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65-4BFB-8338-B56E6346CF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Abuja</c:v>
                </c:pt>
                <c:pt idx="1">
                  <c:v>Lagos</c:v>
                </c:pt>
                <c:pt idx="2">
                  <c:v>Remote</c:v>
                </c:pt>
              </c:strCache>
            </c:strRef>
          </c:cat>
          <c:val>
            <c:numRef>
              <c:f>'pivot table'!$B$13:$B$16</c:f>
              <c:numCache>
                <c:formatCode>General</c:formatCode>
                <c:ptCount val="3"/>
                <c:pt idx="0">
                  <c:v>28</c:v>
                </c:pt>
                <c:pt idx="1">
                  <c:v>25</c:v>
                </c:pt>
                <c:pt idx="2">
                  <c:v>31</c:v>
                </c:pt>
              </c:numCache>
            </c:numRef>
          </c:val>
          <c:extLst>
            <c:ext xmlns:c16="http://schemas.microsoft.com/office/drawing/2014/chart" uri="{C3380CC4-5D6E-409C-BE32-E72D297353CC}">
              <c16:uniqueId val="{00000006-7B65-4BFB-8338-B56E6346CF7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Level by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71128608923883"/>
          <c:y val="0.19486111111111112"/>
          <c:w val="0.70295538057742779"/>
          <c:h val="0.72088764946048411"/>
        </c:manualLayout>
      </c:layout>
      <c:bar3DChart>
        <c:barDir val="bar"/>
        <c:grouping val="clustered"/>
        <c:varyColors val="0"/>
        <c:ser>
          <c:idx val="0"/>
          <c:order val="0"/>
          <c:tx>
            <c:strRef>
              <c:f>'pivot table'!$C$19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table'!$B$20:$B$23</c:f>
              <c:strCache>
                <c:ptCount val="3"/>
                <c:pt idx="0">
                  <c:v>Junior</c:v>
                </c:pt>
                <c:pt idx="1">
                  <c:v>Mid-Level</c:v>
                </c:pt>
                <c:pt idx="2">
                  <c:v>Senior</c:v>
                </c:pt>
              </c:strCache>
            </c:strRef>
          </c:cat>
          <c:val>
            <c:numRef>
              <c:f>'pivot table'!$C$20:$C$23</c:f>
              <c:numCache>
                <c:formatCode>General</c:formatCode>
                <c:ptCount val="3"/>
                <c:pt idx="0">
                  <c:v>33</c:v>
                </c:pt>
                <c:pt idx="1">
                  <c:v>25</c:v>
                </c:pt>
                <c:pt idx="2">
                  <c:v>26</c:v>
                </c:pt>
              </c:numCache>
            </c:numRef>
          </c:val>
          <c:extLst>
            <c:ext xmlns:c16="http://schemas.microsoft.com/office/drawing/2014/chart" uri="{C3380CC4-5D6E-409C-BE32-E72D297353CC}">
              <c16:uniqueId val="{00000000-87A6-4732-BEFE-B9A753CDE955}"/>
            </c:ext>
          </c:extLst>
        </c:ser>
        <c:dLbls>
          <c:showLegendKey val="0"/>
          <c:showVal val="1"/>
          <c:showCatName val="0"/>
          <c:showSerName val="0"/>
          <c:showPercent val="0"/>
          <c:showBubbleSize val="0"/>
        </c:dLbls>
        <c:gapWidth val="150"/>
        <c:shape val="box"/>
        <c:axId val="1158129760"/>
        <c:axId val="1158138880"/>
        <c:axId val="0"/>
      </c:bar3DChart>
      <c:catAx>
        <c:axId val="115812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38880"/>
        <c:crosses val="autoZero"/>
        <c:auto val="1"/>
        <c:lblAlgn val="ctr"/>
        <c:lblOffset val="100"/>
        <c:noMultiLvlLbl val="0"/>
      </c:catAx>
      <c:valAx>
        <c:axId val="115813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FINAL ASSIGNMENT EXCEL.xlsx]pivot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btw Salary and Performance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Count of Monthly_Salary</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NA</c:v>
                </c:pt>
                <c:pt idx="1">
                  <c:v>HR</c:v>
                </c:pt>
                <c:pt idx="2">
                  <c:v>FINANCE</c:v>
                </c:pt>
                <c:pt idx="3">
                  <c:v>OPERATIONS</c:v>
                </c:pt>
                <c:pt idx="4">
                  <c:v>IT</c:v>
                </c:pt>
              </c:strCache>
            </c:strRef>
          </c:cat>
          <c:val>
            <c:numRef>
              <c:f>'pivot 2'!$B$4:$B$9</c:f>
              <c:numCache>
                <c:formatCode>General</c:formatCode>
                <c:ptCount val="5"/>
                <c:pt idx="0">
                  <c:v>9</c:v>
                </c:pt>
                <c:pt idx="1">
                  <c:v>18</c:v>
                </c:pt>
                <c:pt idx="2">
                  <c:v>20</c:v>
                </c:pt>
                <c:pt idx="3">
                  <c:v>15</c:v>
                </c:pt>
                <c:pt idx="4">
                  <c:v>22</c:v>
                </c:pt>
              </c:numCache>
            </c:numRef>
          </c:val>
          <c:extLst>
            <c:ext xmlns:c16="http://schemas.microsoft.com/office/drawing/2014/chart" uri="{C3380CC4-5D6E-409C-BE32-E72D297353CC}">
              <c16:uniqueId val="{00000000-F474-41B5-9CE2-FB07C5E0B2AC}"/>
            </c:ext>
          </c:extLst>
        </c:ser>
        <c:ser>
          <c:idx val="1"/>
          <c:order val="1"/>
          <c:tx>
            <c:strRef>
              <c:f>'pivot 2'!$C$3</c:f>
              <c:strCache>
                <c:ptCount val="1"/>
                <c:pt idx="0">
                  <c:v>Sum of Performance_Score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2'!$A$4:$A$9</c:f>
              <c:strCache>
                <c:ptCount val="5"/>
                <c:pt idx="0">
                  <c:v>NA</c:v>
                </c:pt>
                <c:pt idx="1">
                  <c:v>HR</c:v>
                </c:pt>
                <c:pt idx="2">
                  <c:v>FINANCE</c:v>
                </c:pt>
                <c:pt idx="3">
                  <c:v>OPERATIONS</c:v>
                </c:pt>
                <c:pt idx="4">
                  <c:v>IT</c:v>
                </c:pt>
              </c:strCache>
            </c:strRef>
          </c:cat>
          <c:val>
            <c:numRef>
              <c:f>'pivot 2'!$C$4:$C$9</c:f>
              <c:numCache>
                <c:formatCode>General</c:formatCode>
                <c:ptCount val="5"/>
                <c:pt idx="0">
                  <c:v>27.6</c:v>
                </c:pt>
                <c:pt idx="1">
                  <c:v>48.7</c:v>
                </c:pt>
                <c:pt idx="2">
                  <c:v>50.599999999999994</c:v>
                </c:pt>
                <c:pt idx="3">
                  <c:v>52.3</c:v>
                </c:pt>
                <c:pt idx="4">
                  <c:v>77.7</c:v>
                </c:pt>
              </c:numCache>
            </c:numRef>
          </c:val>
          <c:extLst>
            <c:ext xmlns:c16="http://schemas.microsoft.com/office/drawing/2014/chart" uri="{C3380CC4-5D6E-409C-BE32-E72D297353CC}">
              <c16:uniqueId val="{00000001-F474-41B5-9CE2-FB07C5E0B2AC}"/>
            </c:ext>
          </c:extLst>
        </c:ser>
        <c:dLbls>
          <c:showLegendKey val="0"/>
          <c:showVal val="1"/>
          <c:showCatName val="0"/>
          <c:showSerName val="0"/>
          <c:showPercent val="0"/>
          <c:showBubbleSize val="0"/>
        </c:dLbls>
        <c:gapWidth val="150"/>
        <c:shape val="box"/>
        <c:axId val="1706663568"/>
        <c:axId val="1706664048"/>
        <c:axId val="0"/>
      </c:bar3DChart>
      <c:catAx>
        <c:axId val="1706663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64048"/>
        <c:crosses val="autoZero"/>
        <c:auto val="1"/>
        <c:lblAlgn val="ctr"/>
        <c:lblOffset val="100"/>
        <c:noMultiLvlLbl val="0"/>
      </c:catAx>
      <c:valAx>
        <c:axId val="1706664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1473200</xdr:colOff>
      <xdr:row>23</xdr:row>
      <xdr:rowOff>171450</xdr:rowOff>
    </xdr:from>
    <xdr:to>
      <xdr:col>3</xdr:col>
      <xdr:colOff>1479550</xdr:colOff>
      <xdr:row>38</xdr:row>
      <xdr:rowOff>127000</xdr:rowOff>
    </xdr:to>
    <xdr:graphicFrame macro="">
      <xdr:nvGraphicFramePr>
        <xdr:cNvPr id="2" name="Chart 1">
          <a:extLst>
            <a:ext uri="{FF2B5EF4-FFF2-40B4-BE49-F238E27FC236}">
              <a16:creationId xmlns:a16="http://schemas.microsoft.com/office/drawing/2014/main" id="{5E28E6BC-1441-5525-E2CF-3C0A6D593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41</xdr:row>
      <xdr:rowOff>95250</xdr:rowOff>
    </xdr:from>
    <xdr:to>
      <xdr:col>3</xdr:col>
      <xdr:colOff>552450</xdr:colOff>
      <xdr:row>54</xdr:row>
      <xdr:rowOff>6350</xdr:rowOff>
    </xdr:to>
    <xdr:graphicFrame macro="">
      <xdr:nvGraphicFramePr>
        <xdr:cNvPr id="3" name="Chart 2">
          <a:extLst>
            <a:ext uri="{FF2B5EF4-FFF2-40B4-BE49-F238E27FC236}">
              <a16:creationId xmlns:a16="http://schemas.microsoft.com/office/drawing/2014/main" id="{6BC315BA-816C-9FB7-257C-DF4394FE8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269875</xdr:colOff>
      <xdr:row>56</xdr:row>
      <xdr:rowOff>38100</xdr:rowOff>
    </xdr:from>
    <xdr:to>
      <xdr:col>3</xdr:col>
      <xdr:colOff>311150</xdr:colOff>
      <xdr:row>68</xdr:row>
      <xdr:rowOff>95250</xdr:rowOff>
    </xdr:to>
    <xdr:graphicFrame macro="">
      <xdr:nvGraphicFramePr>
        <xdr:cNvPr id="4" name="Chart 3">
          <a:extLst>
            <a:ext uri="{FF2B5EF4-FFF2-40B4-BE49-F238E27FC236}">
              <a16:creationId xmlns:a16="http://schemas.microsoft.com/office/drawing/2014/main" id="{B3613767-7465-AD96-FACB-16C66E285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469900</xdr:colOff>
      <xdr:row>21</xdr:row>
      <xdr:rowOff>25400</xdr:rowOff>
    </xdr:from>
    <xdr:to>
      <xdr:col>13</xdr:col>
      <xdr:colOff>469900</xdr:colOff>
      <xdr:row>34</xdr:row>
      <xdr:rowOff>155575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A7F0F00F-EDA3-7458-045C-7191DB2B50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947150" y="389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374650</xdr:colOff>
      <xdr:row>14</xdr:row>
      <xdr:rowOff>114300</xdr:rowOff>
    </xdr:from>
    <xdr:to>
      <xdr:col>10</xdr:col>
      <xdr:colOff>374650</xdr:colOff>
      <xdr:row>28</xdr:row>
      <xdr:rowOff>60325</xdr:rowOff>
    </xdr:to>
    <mc:AlternateContent xmlns:mc="http://schemas.openxmlformats.org/markup-compatibility/2006" xmlns:a14="http://schemas.microsoft.com/office/drawing/2010/main">
      <mc:Choice Requires="a14">
        <xdr:graphicFrame macro="">
          <xdr:nvGraphicFramePr>
            <xdr:cNvPr id="6" name="Job_Level">
              <a:extLst>
                <a:ext uri="{FF2B5EF4-FFF2-40B4-BE49-F238E27FC236}">
                  <a16:creationId xmlns:a16="http://schemas.microsoft.com/office/drawing/2014/main" id="{B74F3FD4-93D2-4629-21CD-7B33FC6CF3EA}"/>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7023100" y="269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120650</xdr:colOff>
      <xdr:row>15</xdr:row>
      <xdr:rowOff>50800</xdr:rowOff>
    </xdr:from>
    <xdr:to>
      <xdr:col>7</xdr:col>
      <xdr:colOff>120650</xdr:colOff>
      <xdr:row>28</xdr:row>
      <xdr:rowOff>180975</xdr:rowOff>
    </xdr:to>
    <mc:AlternateContent xmlns:mc="http://schemas.openxmlformats.org/markup-compatibility/2006" xmlns:a14="http://schemas.microsoft.com/office/drawing/2010/main">
      <mc:Choice Requires="a14">
        <xdr:graphicFrame macro="">
          <xdr:nvGraphicFramePr>
            <xdr:cNvPr id="7" name="Work_Location">
              <a:extLst>
                <a:ext uri="{FF2B5EF4-FFF2-40B4-BE49-F238E27FC236}">
                  <a16:creationId xmlns:a16="http://schemas.microsoft.com/office/drawing/2014/main" id="{416BC5C3-D7A4-FD4E-E797-64D805D57FC6}"/>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4940300" y="281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1</xdr:row>
      <xdr:rowOff>165100</xdr:rowOff>
    </xdr:from>
    <xdr:to>
      <xdr:col>21</xdr:col>
      <xdr:colOff>152400</xdr:colOff>
      <xdr:row>28</xdr:row>
      <xdr:rowOff>38100</xdr:rowOff>
    </xdr:to>
    <xdr:grpSp>
      <xdr:nvGrpSpPr>
        <xdr:cNvPr id="24" name="Group 23">
          <a:extLst>
            <a:ext uri="{FF2B5EF4-FFF2-40B4-BE49-F238E27FC236}">
              <a16:creationId xmlns:a16="http://schemas.microsoft.com/office/drawing/2014/main" id="{22F220B8-A001-022B-4A20-45DBEC04F8A1}"/>
            </a:ext>
          </a:extLst>
        </xdr:cNvPr>
        <xdr:cNvGrpSpPr/>
      </xdr:nvGrpSpPr>
      <xdr:grpSpPr>
        <a:xfrm>
          <a:off x="25400" y="349250"/>
          <a:ext cx="12928600" cy="4845050"/>
          <a:chOff x="0" y="635000"/>
          <a:chExt cx="12928600" cy="4845050"/>
        </a:xfrm>
      </xdr:grpSpPr>
      <xdr:grpSp>
        <xdr:nvGrpSpPr>
          <xdr:cNvPr id="23" name="Group 22">
            <a:extLst>
              <a:ext uri="{FF2B5EF4-FFF2-40B4-BE49-F238E27FC236}">
                <a16:creationId xmlns:a16="http://schemas.microsoft.com/office/drawing/2014/main" id="{E830DAB6-913D-7543-95FC-D1851277632F}"/>
              </a:ext>
            </a:extLst>
          </xdr:cNvPr>
          <xdr:cNvGrpSpPr/>
        </xdr:nvGrpSpPr>
        <xdr:grpSpPr>
          <a:xfrm>
            <a:off x="0" y="635000"/>
            <a:ext cx="12884150" cy="4845050"/>
            <a:chOff x="0" y="571500"/>
            <a:chExt cx="12884150" cy="4845050"/>
          </a:xfrm>
        </xdr:grpSpPr>
        <xdr:sp macro="" textlink="">
          <xdr:nvSpPr>
            <xdr:cNvPr id="2" name="Rectangle 1">
              <a:extLst>
                <a:ext uri="{FF2B5EF4-FFF2-40B4-BE49-F238E27FC236}">
                  <a16:creationId xmlns:a16="http://schemas.microsoft.com/office/drawing/2014/main" id="{B6158CB0-EA0D-5172-90D6-B42B4675518E}"/>
                </a:ext>
              </a:extLst>
            </xdr:cNvPr>
            <xdr:cNvSpPr/>
          </xdr:nvSpPr>
          <xdr:spPr>
            <a:xfrm>
              <a:off x="2254250" y="603250"/>
              <a:ext cx="10629900" cy="4826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5003A053-737D-41A7-1C84-0B4038A5B99A}"/>
                </a:ext>
              </a:extLst>
            </xdr:cNvPr>
            <xdr:cNvSpPr/>
          </xdr:nvSpPr>
          <xdr:spPr>
            <a:xfrm>
              <a:off x="0" y="571500"/>
              <a:ext cx="2311400" cy="48450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 name="Rectangle 3">
            <a:extLst>
              <a:ext uri="{FF2B5EF4-FFF2-40B4-BE49-F238E27FC236}">
                <a16:creationId xmlns:a16="http://schemas.microsoft.com/office/drawing/2014/main" id="{7AB42C27-3377-45FF-A70C-20D7B3C3F55E}"/>
              </a:ext>
            </a:extLst>
          </xdr:cNvPr>
          <xdr:cNvSpPr/>
        </xdr:nvSpPr>
        <xdr:spPr>
          <a:xfrm>
            <a:off x="2298700" y="1085850"/>
            <a:ext cx="10629900" cy="4826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EMPLOYEE PERFORMANCE DASHBOARD</a:t>
            </a:r>
          </a:p>
        </xdr:txBody>
      </xdr:sp>
    </xdr:grpSp>
    <xdr:clientData/>
  </xdr:twoCellAnchor>
  <xdr:twoCellAnchor editAs="oneCell">
    <xdr:from>
      <xdr:col>0</xdr:col>
      <xdr:colOff>165100</xdr:colOff>
      <xdr:row>11</xdr:row>
      <xdr:rowOff>76200</xdr:rowOff>
    </xdr:from>
    <xdr:to>
      <xdr:col>3</xdr:col>
      <xdr:colOff>165100</xdr:colOff>
      <xdr:row>17</xdr:row>
      <xdr:rowOff>146049</xdr:rowOff>
    </xdr:to>
    <mc:AlternateContent xmlns:mc="http://schemas.openxmlformats.org/markup-compatibility/2006" xmlns:a14="http://schemas.microsoft.com/office/drawing/2010/main">
      <mc:Choice Requires="a14">
        <xdr:graphicFrame macro="">
          <xdr:nvGraphicFramePr>
            <xdr:cNvPr id="6" name="Work_Location 1">
              <a:extLst>
                <a:ext uri="{FF2B5EF4-FFF2-40B4-BE49-F238E27FC236}">
                  <a16:creationId xmlns:a16="http://schemas.microsoft.com/office/drawing/2014/main" id="{C3547672-7F5F-4FBC-9072-9C74C2BE6CDC}"/>
                </a:ext>
              </a:extLst>
            </xdr:cNvPr>
            <xdr:cNvGraphicFramePr/>
          </xdr:nvGraphicFramePr>
          <xdr:xfrm>
            <a:off x="0" y="0"/>
            <a:ext cx="0" cy="0"/>
          </xdr:xfrm>
          <a:graphic>
            <a:graphicData uri="http://schemas.microsoft.com/office/drawing/2010/slicer">
              <sle:slicer xmlns:sle="http://schemas.microsoft.com/office/drawing/2010/slicer" name="Work_Location 1"/>
            </a:graphicData>
          </a:graphic>
        </xdr:graphicFrame>
      </mc:Choice>
      <mc:Fallback xmlns="">
        <xdr:sp macro="" textlink="">
          <xdr:nvSpPr>
            <xdr:cNvPr id="0" name=""/>
            <xdr:cNvSpPr>
              <a:spLocks noTextEdit="1"/>
            </xdr:cNvSpPr>
          </xdr:nvSpPr>
          <xdr:spPr>
            <a:xfrm>
              <a:off x="165100" y="2101850"/>
              <a:ext cx="1828800" cy="117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3</xdr:row>
      <xdr:rowOff>19051</xdr:rowOff>
    </xdr:from>
    <xdr:to>
      <xdr:col>3</xdr:col>
      <xdr:colOff>165100</xdr:colOff>
      <xdr:row>10</xdr:row>
      <xdr:rowOff>25401</xdr:rowOff>
    </xdr:to>
    <mc:AlternateContent xmlns:mc="http://schemas.openxmlformats.org/markup-compatibility/2006" xmlns:a14="http://schemas.microsoft.com/office/drawing/2010/main">
      <mc:Choice Requires="a14">
        <xdr:graphicFrame macro="">
          <xdr:nvGraphicFramePr>
            <xdr:cNvPr id="7" name="Job_Level 1">
              <a:extLst>
                <a:ext uri="{FF2B5EF4-FFF2-40B4-BE49-F238E27FC236}">
                  <a16:creationId xmlns:a16="http://schemas.microsoft.com/office/drawing/2014/main" id="{7454BBBF-D83C-4E7D-BD94-886A7585441A}"/>
                </a:ext>
              </a:extLst>
            </xdr:cNvPr>
            <xdr:cNvGraphicFramePr/>
          </xdr:nvGraphicFramePr>
          <xdr:xfrm>
            <a:off x="0" y="0"/>
            <a:ext cx="0" cy="0"/>
          </xdr:xfrm>
          <a:graphic>
            <a:graphicData uri="http://schemas.microsoft.com/office/drawing/2010/slicer">
              <sle:slicer xmlns:sle="http://schemas.microsoft.com/office/drawing/2010/slicer" name="Job_Level 1"/>
            </a:graphicData>
          </a:graphic>
        </xdr:graphicFrame>
      </mc:Choice>
      <mc:Fallback xmlns="">
        <xdr:sp macro="" textlink="">
          <xdr:nvSpPr>
            <xdr:cNvPr id="0" name=""/>
            <xdr:cNvSpPr>
              <a:spLocks noTextEdit="1"/>
            </xdr:cNvSpPr>
          </xdr:nvSpPr>
          <xdr:spPr>
            <a:xfrm>
              <a:off x="165100" y="57150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18</xdr:row>
      <xdr:rowOff>127001</xdr:rowOff>
    </xdr:from>
    <xdr:to>
      <xdr:col>3</xdr:col>
      <xdr:colOff>171450</xdr:colOff>
      <xdr:row>27</xdr:row>
      <xdr:rowOff>146051</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22039166-AE38-4343-956D-A6F44310DE1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1450" y="34417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9</xdr:row>
      <xdr:rowOff>165100</xdr:rowOff>
    </xdr:from>
    <xdr:to>
      <xdr:col>8</xdr:col>
      <xdr:colOff>6350</xdr:colOff>
      <xdr:row>12</xdr:row>
      <xdr:rowOff>25400</xdr:rowOff>
    </xdr:to>
    <xdr:sp macro="" textlink="">
      <xdr:nvSpPr>
        <xdr:cNvPr id="10" name="Rectangle 9">
          <a:extLst>
            <a:ext uri="{FF2B5EF4-FFF2-40B4-BE49-F238E27FC236}">
              <a16:creationId xmlns:a16="http://schemas.microsoft.com/office/drawing/2014/main" id="{36DE0320-D1E6-4936-8CBC-6FA57C6CE664}"/>
            </a:ext>
          </a:extLst>
        </xdr:cNvPr>
        <xdr:cNvSpPr/>
      </xdr:nvSpPr>
      <xdr:spPr>
        <a:xfrm>
          <a:off x="3048000" y="1822450"/>
          <a:ext cx="1835150" cy="4127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Maximum Monthly Salary</a:t>
          </a:r>
          <a:r>
            <a:rPr lang="en-US" sz="1100" b="1" baseline="0">
              <a:solidFill>
                <a:srgbClr val="FF0000"/>
              </a:solidFill>
            </a:rPr>
            <a:t> </a:t>
          </a:r>
          <a:endParaRPr lang="en-US" sz="1100" b="1">
            <a:solidFill>
              <a:srgbClr val="FF0000"/>
            </a:solidFill>
          </a:endParaRPr>
        </a:p>
      </xdr:txBody>
    </xdr:sp>
    <xdr:clientData/>
  </xdr:twoCellAnchor>
  <xdr:twoCellAnchor>
    <xdr:from>
      <xdr:col>5</xdr:col>
      <xdr:colOff>6350</xdr:colOff>
      <xdr:row>9</xdr:row>
      <xdr:rowOff>146050</xdr:rowOff>
    </xdr:from>
    <xdr:to>
      <xdr:col>8</xdr:col>
      <xdr:colOff>19050</xdr:colOff>
      <xdr:row>14</xdr:row>
      <xdr:rowOff>44450</xdr:rowOff>
    </xdr:to>
    <xdr:sp macro="" textlink="">
      <xdr:nvSpPr>
        <xdr:cNvPr id="11" name="Rectangle 10">
          <a:extLst>
            <a:ext uri="{FF2B5EF4-FFF2-40B4-BE49-F238E27FC236}">
              <a16:creationId xmlns:a16="http://schemas.microsoft.com/office/drawing/2014/main" id="{4BF36962-256E-D588-B266-736D3311C237}"/>
            </a:ext>
          </a:extLst>
        </xdr:cNvPr>
        <xdr:cNvSpPr/>
      </xdr:nvSpPr>
      <xdr:spPr>
        <a:xfrm>
          <a:off x="3054350" y="1803400"/>
          <a:ext cx="1841500" cy="81915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95250</xdr:colOff>
      <xdr:row>10</xdr:row>
      <xdr:rowOff>114300</xdr:rowOff>
    </xdr:from>
    <xdr:to>
      <xdr:col>6</xdr:col>
      <xdr:colOff>539750</xdr:colOff>
      <xdr:row>12</xdr:row>
      <xdr:rowOff>38100</xdr:rowOff>
    </xdr:to>
    <xdr:pic>
      <xdr:nvPicPr>
        <xdr:cNvPr id="13" name="Graphic 12" descr="Money with solid fill">
          <a:extLst>
            <a:ext uri="{FF2B5EF4-FFF2-40B4-BE49-F238E27FC236}">
              <a16:creationId xmlns:a16="http://schemas.microsoft.com/office/drawing/2014/main" id="{5B32C21A-ABF6-80E7-4D20-DC41993F14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52850" y="1955800"/>
          <a:ext cx="444500" cy="292100"/>
        </a:xfrm>
        <a:prstGeom prst="rect">
          <a:avLst/>
        </a:prstGeom>
      </xdr:spPr>
    </xdr:pic>
    <xdr:clientData/>
  </xdr:twoCellAnchor>
  <xdr:twoCellAnchor>
    <xdr:from>
      <xdr:col>9</xdr:col>
      <xdr:colOff>25400</xdr:colOff>
      <xdr:row>9</xdr:row>
      <xdr:rowOff>146050</xdr:rowOff>
    </xdr:from>
    <xdr:to>
      <xdr:col>12</xdr:col>
      <xdr:colOff>19050</xdr:colOff>
      <xdr:row>13</xdr:row>
      <xdr:rowOff>171450</xdr:rowOff>
    </xdr:to>
    <xdr:sp macro="" textlink="">
      <xdr:nvSpPr>
        <xdr:cNvPr id="15" name="Rectangle 14">
          <a:extLst>
            <a:ext uri="{FF2B5EF4-FFF2-40B4-BE49-F238E27FC236}">
              <a16:creationId xmlns:a16="http://schemas.microsoft.com/office/drawing/2014/main" id="{DF06CAC9-3C8C-7A5C-DCDD-BC1C43B8D497}"/>
            </a:ext>
          </a:extLst>
        </xdr:cNvPr>
        <xdr:cNvSpPr/>
      </xdr:nvSpPr>
      <xdr:spPr>
        <a:xfrm>
          <a:off x="5511800" y="1803400"/>
          <a:ext cx="1822450" cy="762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xdr:colOff>
      <xdr:row>9</xdr:row>
      <xdr:rowOff>165100</xdr:rowOff>
    </xdr:from>
    <xdr:to>
      <xdr:col>12</xdr:col>
      <xdr:colOff>6350</xdr:colOff>
      <xdr:row>11</xdr:row>
      <xdr:rowOff>177800</xdr:rowOff>
    </xdr:to>
    <xdr:sp macro="" textlink="">
      <xdr:nvSpPr>
        <xdr:cNvPr id="16" name="Rectangle 15">
          <a:extLst>
            <a:ext uri="{FF2B5EF4-FFF2-40B4-BE49-F238E27FC236}">
              <a16:creationId xmlns:a16="http://schemas.microsoft.com/office/drawing/2014/main" id="{8345846A-CF9C-1848-CBA8-978230DAAAE3}"/>
            </a:ext>
          </a:extLst>
        </xdr:cNvPr>
        <xdr:cNvSpPr/>
      </xdr:nvSpPr>
      <xdr:spPr>
        <a:xfrm>
          <a:off x="5518150" y="1822450"/>
          <a:ext cx="1803400" cy="3810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Minimum Monthly Salary</a:t>
          </a:r>
        </a:p>
      </xdr:txBody>
    </xdr:sp>
    <xdr:clientData/>
  </xdr:twoCellAnchor>
  <xdr:twoCellAnchor>
    <xdr:from>
      <xdr:col>4</xdr:col>
      <xdr:colOff>44450</xdr:colOff>
      <xdr:row>16</xdr:row>
      <xdr:rowOff>25400</xdr:rowOff>
    </xdr:from>
    <xdr:to>
      <xdr:col>9</xdr:col>
      <xdr:colOff>260350</xdr:colOff>
      <xdr:row>25</xdr:row>
      <xdr:rowOff>114300</xdr:rowOff>
    </xdr:to>
    <xdr:graphicFrame macro="">
      <xdr:nvGraphicFramePr>
        <xdr:cNvPr id="17" name="Chart 16">
          <a:extLst>
            <a:ext uri="{FF2B5EF4-FFF2-40B4-BE49-F238E27FC236}">
              <a16:creationId xmlns:a16="http://schemas.microsoft.com/office/drawing/2014/main" id="{92215F66-F213-46A2-A071-908B4E2AE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12700</xdr:colOff>
      <xdr:row>16</xdr:row>
      <xdr:rowOff>0</xdr:rowOff>
    </xdr:from>
    <xdr:to>
      <xdr:col>14</xdr:col>
      <xdr:colOff>504825</xdr:colOff>
      <xdr:row>25</xdr:row>
      <xdr:rowOff>44450</xdr:rowOff>
    </xdr:to>
    <xdr:graphicFrame macro="">
      <xdr:nvGraphicFramePr>
        <xdr:cNvPr id="18" name="Chart 17">
          <a:extLst>
            <a:ext uri="{FF2B5EF4-FFF2-40B4-BE49-F238E27FC236}">
              <a16:creationId xmlns:a16="http://schemas.microsoft.com/office/drawing/2014/main" id="{D5A84ABA-B6FF-49BD-AB5B-4735A0017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82551</xdr:colOff>
      <xdr:row>16</xdr:row>
      <xdr:rowOff>25400</xdr:rowOff>
    </xdr:from>
    <xdr:to>
      <xdr:col>19</xdr:col>
      <xdr:colOff>469900</xdr:colOff>
      <xdr:row>25</xdr:row>
      <xdr:rowOff>50800</xdr:rowOff>
    </xdr:to>
    <xdr:graphicFrame macro="">
      <xdr:nvGraphicFramePr>
        <xdr:cNvPr id="19" name="Chart 18">
          <a:extLst>
            <a:ext uri="{FF2B5EF4-FFF2-40B4-BE49-F238E27FC236}">
              <a16:creationId xmlns:a16="http://schemas.microsoft.com/office/drawing/2014/main" id="{61DBEFF3-F544-4301-B72A-5C8832F71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76200</xdr:colOff>
      <xdr:row>10</xdr:row>
      <xdr:rowOff>107950</xdr:rowOff>
    </xdr:from>
    <xdr:to>
      <xdr:col>10</xdr:col>
      <xdr:colOff>520700</xdr:colOff>
      <xdr:row>12</xdr:row>
      <xdr:rowOff>31750</xdr:rowOff>
    </xdr:to>
    <xdr:pic>
      <xdr:nvPicPr>
        <xdr:cNvPr id="12" name="Graphic 11" descr="Money with solid fill">
          <a:extLst>
            <a:ext uri="{FF2B5EF4-FFF2-40B4-BE49-F238E27FC236}">
              <a16:creationId xmlns:a16="http://schemas.microsoft.com/office/drawing/2014/main" id="{2876874F-3401-4988-8BED-A2C864472D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200" y="1949450"/>
          <a:ext cx="444500" cy="292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2</xdr:row>
      <xdr:rowOff>19050</xdr:rowOff>
    </xdr:from>
    <xdr:to>
      <xdr:col>9</xdr:col>
      <xdr:colOff>247650</xdr:colOff>
      <xdr:row>17</xdr:row>
      <xdr:rowOff>69850</xdr:rowOff>
    </xdr:to>
    <xdr:graphicFrame macro="">
      <xdr:nvGraphicFramePr>
        <xdr:cNvPr id="2" name="Chart 1">
          <a:extLst>
            <a:ext uri="{FF2B5EF4-FFF2-40B4-BE49-F238E27FC236}">
              <a16:creationId xmlns:a16="http://schemas.microsoft.com/office/drawing/2014/main" id="{ABA6BAAA-E620-2AA3-F715-944CA6E64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29.980675578707" createdVersion="8" refreshedVersion="8" minRefreshableVersion="3" recordCount="84" xr:uid="{E5F18204-4985-498F-9D1C-0E7B4DE9C7C4}">
  <cacheSource type="worksheet">
    <worksheetSource name="Table4"/>
  </cacheSource>
  <cacheFields count="8">
    <cacheField name="Employee_ID" numFmtId="0">
      <sharedItems/>
    </cacheField>
    <cacheField name="Employee_Name" numFmtId="0">
      <sharedItems/>
    </cacheField>
    <cacheField name="Department" numFmtId="0">
      <sharedItems count="5">
        <s v="FINANCE"/>
        <s v="OPERATIONS"/>
        <s v="NA"/>
        <s v="HR"/>
        <s v="IT"/>
      </sharedItems>
    </cacheField>
    <cacheField name="Job_Level" numFmtId="0">
      <sharedItems count="3">
        <s v="Junior"/>
        <s v="Mid-Level"/>
        <s v="Senior"/>
      </sharedItems>
    </cacheField>
    <cacheField name="Hire_Date" numFmtId="14">
      <sharedItems containsSemiMixedTypes="0" containsNonDate="0" containsDate="1" containsString="0" minDate="2018-02-28T00:00:00" maxDate="2023-04-21T00:00:00" count="83">
        <d v="2021-06-13T00:00:00"/>
        <d v="2020-10-26T00:00:00"/>
        <d v="2018-10-15T00:00:00"/>
        <d v="2021-12-10T00:00:00"/>
        <d v="2023-02-03T00:00:00"/>
        <d v="2019-02-18T00:00:00"/>
        <d v="2018-12-08T00:00:00"/>
        <d v="2021-02-20T00:00:00"/>
        <d v="2022-03-14T00:00:00"/>
        <d v="2021-08-21T00:00:00"/>
        <d v="2021-03-16T00:00:00"/>
        <d v="2023-01-28T00:00:00"/>
        <d v="2021-12-16T00:00:00"/>
        <d v="2019-09-20T00:00:00"/>
        <d v="2018-08-15T00:00:00"/>
        <d v="2021-12-28T00:00:00"/>
        <d v="2021-06-09T00:00:00"/>
        <d v="2019-10-17T00:00:00"/>
        <d v="2018-09-21T00:00:00"/>
        <d v="2018-10-29T00:00:00"/>
        <d v="2020-10-09T00:00:00"/>
        <d v="2018-07-30T00:00:00"/>
        <d v="2019-12-17T00:00:00"/>
        <d v="2021-03-31T00:00:00"/>
        <d v="2021-08-13T00:00:00"/>
        <d v="2022-11-11T00:00:00"/>
        <d v="2018-07-07T00:00:00"/>
        <d v="2019-03-06T00:00:00"/>
        <d v="2021-10-03T00:00:00"/>
        <d v="2023-01-25T00:00:00"/>
        <d v="2023-04-20T00:00:00"/>
        <d v="2022-03-23T00:00:00"/>
        <d v="2021-01-02T00:00:00"/>
        <d v="2018-12-18T00:00:00"/>
        <d v="2018-10-06T00:00:00"/>
        <d v="2022-07-10T00:00:00"/>
        <d v="2019-06-29T00:00:00"/>
        <d v="2021-06-23T00:00:00"/>
        <d v="2020-11-04T00:00:00"/>
        <d v="2021-07-19T00:00:00"/>
        <d v="2019-02-16T00:00:00"/>
        <d v="2020-11-28T00:00:00"/>
        <d v="2020-03-12T00:00:00"/>
        <d v="2021-05-06T00:00:00"/>
        <d v="2018-09-19T00:00:00"/>
        <d v="2018-06-24T00:00:00"/>
        <d v="2021-07-07T00:00:00"/>
        <d v="2018-06-12T00:00:00"/>
        <d v="2019-07-31T00:00:00"/>
        <d v="2020-11-26T00:00:00"/>
        <d v="2018-06-06T00:00:00"/>
        <d v="2019-04-22T00:00:00"/>
        <d v="2022-04-23T00:00:00"/>
        <d v="2021-11-25T00:00:00"/>
        <d v="2021-01-30T00:00:00"/>
        <d v="2019-04-06T00:00:00"/>
        <d v="2022-10-24T00:00:00"/>
        <d v="2020-09-22T00:00:00"/>
        <d v="2021-02-02T00:00:00"/>
        <d v="2022-03-17T00:00:00"/>
        <d v="2019-02-19T00:00:00"/>
        <d v="2018-09-14T00:00:00"/>
        <d v="2020-12-30T00:00:00"/>
        <d v="2022-11-28T00:00:00"/>
        <d v="2019-06-24T00:00:00"/>
        <d v="2020-06-24T00:00:00"/>
        <d v="2020-09-20T00:00:00"/>
        <d v="2023-02-15T00:00:00"/>
        <d v="2021-07-20T00:00:00"/>
        <d v="2021-01-05T00:00:00"/>
        <d v="2019-03-15T00:00:00"/>
        <d v="2022-01-01T00:00:00"/>
        <d v="2022-09-13T00:00:00"/>
        <d v="2018-02-28T00:00:00"/>
        <d v="2020-06-03T00:00:00"/>
        <d v="2022-09-03T00:00:00"/>
        <d v="2022-04-30T00:00:00"/>
        <d v="2022-03-22T00:00:00"/>
        <d v="2019-11-25T00:00:00"/>
        <d v="2018-09-22T00:00:00"/>
        <d v="2022-07-25T00:00:00"/>
        <d v="2019-10-04T00:00:00"/>
        <d v="2018-12-27T00:00:00"/>
      </sharedItems>
    </cacheField>
    <cacheField name="Monthly_Salary" numFmtId="0">
      <sharedItems containsSemiMixedTypes="0" containsString="0" containsNumber="1" minValue="0" maxValue="838877.7"/>
    </cacheField>
    <cacheField name="Performance_Score" numFmtId="0">
      <sharedItems containsSemiMixedTypes="0" containsString="0" containsNumber="1" minValue="0" maxValue="5"/>
    </cacheField>
    <cacheField name="Work_Location" numFmtId="0">
      <sharedItems count="3">
        <s v="Abuja"/>
        <s v="Lagos"/>
        <s v="Remote"/>
      </sharedItems>
    </cacheField>
  </cacheFields>
  <extLst>
    <ext xmlns:x14="http://schemas.microsoft.com/office/spreadsheetml/2009/9/main" uri="{725AE2AE-9491-48be-B2B4-4EB974FC3084}">
      <x14:pivotCacheDefinition pivotCacheId="775020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EMP102"/>
    <s v="Ngozi Nwosu"/>
    <x v="0"/>
    <x v="0"/>
    <x v="0"/>
    <n v="200755.87"/>
    <n v="0"/>
    <x v="0"/>
  </r>
  <r>
    <s v="EMP131"/>
    <s v="Chinedu Eze"/>
    <x v="1"/>
    <x v="1"/>
    <x v="1"/>
    <n v="499045.51"/>
    <n v="3.5"/>
    <x v="1"/>
  </r>
  <r>
    <s v="EMP129"/>
    <s v="Ada Okeke"/>
    <x v="2"/>
    <x v="0"/>
    <x v="2"/>
    <n v="0"/>
    <n v="3.1"/>
    <x v="2"/>
  </r>
  <r>
    <s v="EMP130"/>
    <s v="Ngozi Nwosu"/>
    <x v="3"/>
    <x v="1"/>
    <x v="3"/>
    <n v="827670.62"/>
    <n v="4"/>
    <x v="1"/>
  </r>
  <r>
    <s v="EMP112"/>
    <s v="Ibrahim Lawal"/>
    <x v="2"/>
    <x v="0"/>
    <x v="4"/>
    <n v="132799.34"/>
    <n v="0"/>
    <x v="2"/>
  </r>
  <r>
    <s v="EMP137"/>
    <s v="Ada Okeke"/>
    <x v="3"/>
    <x v="1"/>
    <x v="5"/>
    <n v="0"/>
    <n v="3.6"/>
    <x v="2"/>
  </r>
  <r>
    <s v="EMP121"/>
    <s v="Ngozi Nwosu"/>
    <x v="4"/>
    <x v="1"/>
    <x v="6"/>
    <n v="627957.94999999995"/>
    <n v="5"/>
    <x v="2"/>
  </r>
  <r>
    <s v="EMP116"/>
    <s v="Sophia Kim"/>
    <x v="3"/>
    <x v="1"/>
    <x v="7"/>
    <n v="174927.68"/>
    <n v="4"/>
    <x v="1"/>
  </r>
  <r>
    <s v="EMP128"/>
    <s v="Michael Brown"/>
    <x v="3"/>
    <x v="0"/>
    <x v="8"/>
    <n v="524589.18999999994"/>
    <n v="3.3"/>
    <x v="2"/>
  </r>
  <r>
    <s v="EMP121"/>
    <s v="Ibrahim Lawal"/>
    <x v="0"/>
    <x v="0"/>
    <x v="9"/>
    <n v="0"/>
    <n v="4"/>
    <x v="0"/>
  </r>
  <r>
    <s v="EMP137"/>
    <s v="Samuel Ade"/>
    <x v="4"/>
    <x v="2"/>
    <x v="10"/>
    <n v="393356.24"/>
    <n v="4"/>
    <x v="2"/>
  </r>
  <r>
    <s v="EMP131"/>
    <s v="Samuel Ade"/>
    <x v="2"/>
    <x v="1"/>
    <x v="11"/>
    <n v="224356.35"/>
    <n v="3.5"/>
    <x v="1"/>
  </r>
  <r>
    <s v="EMP123"/>
    <s v="Ngozi Nwosu"/>
    <x v="1"/>
    <x v="2"/>
    <x v="12"/>
    <n v="256629.01"/>
    <n v="0"/>
    <x v="0"/>
  </r>
  <r>
    <s v="EMP138"/>
    <s v="Ada Okeke"/>
    <x v="4"/>
    <x v="1"/>
    <x v="13"/>
    <n v="573185.1"/>
    <n v="0"/>
    <x v="0"/>
  </r>
  <r>
    <s v="EMP139"/>
    <s v="Chinedu Eze"/>
    <x v="1"/>
    <x v="1"/>
    <x v="14"/>
    <n v="263467.39"/>
    <n v="0"/>
    <x v="1"/>
  </r>
  <r>
    <s v="EMP107"/>
    <s v="Daniel Johnson"/>
    <x v="4"/>
    <x v="2"/>
    <x v="15"/>
    <n v="772070.3"/>
    <n v="0"/>
    <x v="0"/>
  </r>
  <r>
    <s v="EMP133"/>
    <s v="Daniel Johnson"/>
    <x v="4"/>
    <x v="1"/>
    <x v="16"/>
    <n v="587638.99"/>
    <n v="4"/>
    <x v="1"/>
  </r>
  <r>
    <s v="EMP106"/>
    <s v="Samuel Ade"/>
    <x v="0"/>
    <x v="2"/>
    <x v="17"/>
    <n v="343550.78"/>
    <n v="0"/>
    <x v="1"/>
  </r>
  <r>
    <s v="EMP104"/>
    <s v="Ngozi Nwosu"/>
    <x v="1"/>
    <x v="0"/>
    <x v="18"/>
    <n v="360154.89"/>
    <n v="4"/>
    <x v="0"/>
  </r>
  <r>
    <s v="EMP113"/>
    <s v="Ngozi Nwosu"/>
    <x v="4"/>
    <x v="0"/>
    <x v="19"/>
    <n v="678881.09"/>
    <n v="5"/>
    <x v="0"/>
  </r>
  <r>
    <s v="EMP129"/>
    <s v="Sophia Kim"/>
    <x v="1"/>
    <x v="1"/>
    <x v="20"/>
    <n v="581167.12"/>
    <n v="4"/>
    <x v="1"/>
  </r>
  <r>
    <s v="EMP119"/>
    <s v="Zainab Ali"/>
    <x v="4"/>
    <x v="1"/>
    <x v="21"/>
    <n v="138001.9"/>
    <n v="4"/>
    <x v="2"/>
  </r>
  <r>
    <s v="EMP124"/>
    <s v="Ngozi Nwosu"/>
    <x v="2"/>
    <x v="0"/>
    <x v="22"/>
    <n v="276055.12"/>
    <n v="5"/>
    <x v="2"/>
  </r>
  <r>
    <s v="EMP117"/>
    <s v="Grace Musa"/>
    <x v="3"/>
    <x v="0"/>
    <x v="23"/>
    <n v="414305.66"/>
    <n v="0"/>
    <x v="2"/>
  </r>
  <r>
    <s v="EMP102"/>
    <s v="Zainab Ali"/>
    <x v="0"/>
    <x v="0"/>
    <x v="24"/>
    <n v="414261.81"/>
    <n v="4"/>
    <x v="2"/>
  </r>
  <r>
    <s v="EMP127"/>
    <s v="Ibrahim Lawal"/>
    <x v="4"/>
    <x v="2"/>
    <x v="25"/>
    <n v="580475.34"/>
    <n v="5"/>
    <x v="2"/>
  </r>
  <r>
    <s v="EMP128"/>
    <s v="Daniel Johnson"/>
    <x v="3"/>
    <x v="0"/>
    <x v="26"/>
    <n v="0"/>
    <n v="2.6"/>
    <x v="0"/>
  </r>
  <r>
    <s v="EMP126"/>
    <s v="Grace Musa"/>
    <x v="3"/>
    <x v="0"/>
    <x v="27"/>
    <n v="713409.38"/>
    <n v="5"/>
    <x v="2"/>
  </r>
  <r>
    <s v="EMP130"/>
    <s v="Zainab Ali"/>
    <x v="0"/>
    <x v="1"/>
    <x v="28"/>
    <n v="186020.87"/>
    <n v="5"/>
    <x v="1"/>
  </r>
  <r>
    <s v="EMP128"/>
    <s v="Zainab Ali"/>
    <x v="4"/>
    <x v="2"/>
    <x v="29"/>
    <n v="355947.16"/>
    <n v="4.5999999999999996"/>
    <x v="0"/>
  </r>
  <r>
    <s v="EMP137"/>
    <s v="Ibrahim Lawal"/>
    <x v="0"/>
    <x v="1"/>
    <x v="30"/>
    <n v="272395.05"/>
    <n v="1.2"/>
    <x v="1"/>
  </r>
  <r>
    <s v="EMP109"/>
    <s v="Ibrahim Lawal"/>
    <x v="0"/>
    <x v="0"/>
    <x v="31"/>
    <n v="153297.13"/>
    <n v="0"/>
    <x v="2"/>
  </r>
  <r>
    <s v="EMP137"/>
    <s v="Sophia Kim"/>
    <x v="3"/>
    <x v="2"/>
    <x v="32"/>
    <n v="510477.2"/>
    <n v="0"/>
    <x v="1"/>
  </r>
  <r>
    <s v="EMP105"/>
    <s v="Michael Brown"/>
    <x v="1"/>
    <x v="0"/>
    <x v="33"/>
    <n v="0"/>
    <n v="4"/>
    <x v="0"/>
  </r>
  <r>
    <s v="EMP120"/>
    <s v="Sophia Kim"/>
    <x v="3"/>
    <x v="2"/>
    <x v="34"/>
    <n v="436157.71"/>
    <n v="0"/>
    <x v="1"/>
  </r>
  <r>
    <s v="EMP132"/>
    <s v="Michael Brown"/>
    <x v="4"/>
    <x v="0"/>
    <x v="35"/>
    <n v="733387.69"/>
    <n v="4"/>
    <x v="2"/>
  </r>
  <r>
    <s v="EMP123"/>
    <s v="Sophia Kim"/>
    <x v="0"/>
    <x v="2"/>
    <x v="36"/>
    <n v="315382.14"/>
    <n v="5"/>
    <x v="1"/>
  </r>
  <r>
    <s v="EMP113"/>
    <s v="Samuel Ade"/>
    <x v="3"/>
    <x v="0"/>
    <x v="37"/>
    <n v="240566.86"/>
    <n v="0"/>
    <x v="0"/>
  </r>
  <r>
    <s v="EMP139"/>
    <s v="Chinedu Eze"/>
    <x v="1"/>
    <x v="0"/>
    <x v="38"/>
    <n v="509183.19"/>
    <n v="2.8"/>
    <x v="0"/>
  </r>
  <r>
    <s v="EMP117"/>
    <s v="Daniel Johnson"/>
    <x v="0"/>
    <x v="1"/>
    <x v="39"/>
    <n v="154971.03"/>
    <n v="4"/>
    <x v="2"/>
  </r>
  <r>
    <s v="EMP113"/>
    <s v="Grace Musa"/>
    <x v="0"/>
    <x v="2"/>
    <x v="40"/>
    <n v="0"/>
    <n v="0"/>
    <x v="0"/>
  </r>
  <r>
    <s v="EMP117"/>
    <s v="Chinedu Eze"/>
    <x v="1"/>
    <x v="2"/>
    <x v="41"/>
    <n v="314317.09000000003"/>
    <n v="5"/>
    <x v="0"/>
  </r>
  <r>
    <s v="EMP116"/>
    <s v="Samuel Ade"/>
    <x v="3"/>
    <x v="2"/>
    <x v="42"/>
    <n v="719091.18"/>
    <n v="3.5"/>
    <x v="2"/>
  </r>
  <r>
    <s v="EMP113"/>
    <s v="Ada Okeke"/>
    <x v="3"/>
    <x v="0"/>
    <x v="43"/>
    <n v="674254.26"/>
    <n v="3.1"/>
    <x v="2"/>
  </r>
  <r>
    <s v="EMP102"/>
    <s v="Ada Okeke"/>
    <x v="4"/>
    <x v="0"/>
    <x v="44"/>
    <n v="380854.83"/>
    <n v="0"/>
    <x v="1"/>
  </r>
  <r>
    <s v="EMP121"/>
    <s v="Michael Brown"/>
    <x v="3"/>
    <x v="2"/>
    <x v="45"/>
    <n v="739490.64"/>
    <n v="3.5"/>
    <x v="0"/>
  </r>
  <r>
    <s v="EMP130"/>
    <s v="Zainab Ali"/>
    <x v="2"/>
    <x v="0"/>
    <x v="46"/>
    <n v="271361.71000000002"/>
    <n v="5"/>
    <x v="0"/>
  </r>
  <r>
    <s v="EMP131"/>
    <s v="Sophia Kim"/>
    <x v="0"/>
    <x v="1"/>
    <x v="47"/>
    <n v="354274.69"/>
    <n v="5"/>
    <x v="0"/>
  </r>
  <r>
    <s v="EMP124"/>
    <s v="Ngozi Nwosu"/>
    <x v="0"/>
    <x v="0"/>
    <x v="48"/>
    <n v="507753.17"/>
    <n v="1.6"/>
    <x v="2"/>
  </r>
  <r>
    <s v="EMP106"/>
    <s v="Ngozi Nwosu"/>
    <x v="4"/>
    <x v="0"/>
    <x v="49"/>
    <n v="264337.69"/>
    <n v="3.5"/>
    <x v="2"/>
  </r>
  <r>
    <s v="EMP103"/>
    <s v="Sophia Kim"/>
    <x v="0"/>
    <x v="1"/>
    <x v="50"/>
    <n v="416139.86"/>
    <n v="3.5"/>
    <x v="0"/>
  </r>
  <r>
    <s v="EMP111"/>
    <s v="Grace Musa"/>
    <x v="0"/>
    <x v="2"/>
    <x v="51"/>
    <n v="686046.96"/>
    <n v="4"/>
    <x v="0"/>
  </r>
  <r>
    <s v="EMP132"/>
    <s v="Daniel Johnson"/>
    <x v="1"/>
    <x v="1"/>
    <x v="12"/>
    <n v="710594.74"/>
    <n v="3.5"/>
    <x v="0"/>
  </r>
  <r>
    <s v="EMP115"/>
    <s v="Samuel Ade"/>
    <x v="0"/>
    <x v="0"/>
    <x v="52"/>
    <n v="0"/>
    <n v="3.5"/>
    <x v="2"/>
  </r>
  <r>
    <s v="EMP126"/>
    <s v="Zainab Ali"/>
    <x v="0"/>
    <x v="0"/>
    <x v="53"/>
    <n v="598351.28"/>
    <n v="3.5"/>
    <x v="2"/>
  </r>
  <r>
    <s v="EMP135"/>
    <s v="Zainab Ali"/>
    <x v="4"/>
    <x v="1"/>
    <x v="54"/>
    <n v="0"/>
    <n v="5"/>
    <x v="1"/>
  </r>
  <r>
    <s v="EMP113"/>
    <s v="Ada Okeke"/>
    <x v="3"/>
    <x v="0"/>
    <x v="55"/>
    <n v="764894.8"/>
    <n v="5"/>
    <x v="2"/>
  </r>
  <r>
    <s v="EMP131"/>
    <s v="Grace Musa"/>
    <x v="1"/>
    <x v="2"/>
    <x v="56"/>
    <n v="316999.12"/>
    <n v="4"/>
    <x v="0"/>
  </r>
  <r>
    <s v="EMP113"/>
    <s v="Chinedu Eze"/>
    <x v="0"/>
    <x v="2"/>
    <x v="57"/>
    <n v="386456.51"/>
    <n v="0"/>
    <x v="0"/>
  </r>
  <r>
    <s v="EMP121"/>
    <s v="Ngozi Nwosu"/>
    <x v="4"/>
    <x v="2"/>
    <x v="58"/>
    <n v="499720.14"/>
    <n v="5"/>
    <x v="0"/>
  </r>
  <r>
    <s v="EMP119"/>
    <s v="Ngozi Nwosu"/>
    <x v="4"/>
    <x v="0"/>
    <x v="59"/>
    <n v="451511.37"/>
    <n v="4"/>
    <x v="1"/>
  </r>
  <r>
    <s v="EMP137"/>
    <s v="Samuel Ade"/>
    <x v="4"/>
    <x v="0"/>
    <x v="60"/>
    <n v="484326.75"/>
    <n v="5"/>
    <x v="1"/>
  </r>
  <r>
    <s v="EMP123"/>
    <s v="Samuel Ade"/>
    <x v="1"/>
    <x v="1"/>
    <x v="61"/>
    <n v="665849.57999999996"/>
    <n v="3.5"/>
    <x v="2"/>
  </r>
  <r>
    <s v="EMP119"/>
    <s v="Ngozi Nwosu"/>
    <x v="2"/>
    <x v="2"/>
    <x v="62"/>
    <n v="291386.59999999998"/>
    <n v="3.5"/>
    <x v="0"/>
  </r>
  <r>
    <s v="EMP134"/>
    <s v="Chinedu Eze"/>
    <x v="1"/>
    <x v="0"/>
    <x v="63"/>
    <n v="838877.7"/>
    <n v="3.5"/>
    <x v="1"/>
  </r>
  <r>
    <s v="EMP130"/>
    <s v="Sophia Kim"/>
    <x v="1"/>
    <x v="2"/>
    <x v="64"/>
    <n v="234129.89"/>
    <n v="5"/>
    <x v="1"/>
  </r>
  <r>
    <s v="EMP112"/>
    <s v="Chinedu Eze"/>
    <x v="4"/>
    <x v="2"/>
    <x v="65"/>
    <n v="808879.07"/>
    <n v="3.5"/>
    <x v="2"/>
  </r>
  <r>
    <s v="EMP118"/>
    <s v="Zainab Ali"/>
    <x v="3"/>
    <x v="2"/>
    <x v="66"/>
    <n v="325779.5"/>
    <n v="4"/>
    <x v="0"/>
  </r>
  <r>
    <s v="EMP117"/>
    <s v="Ngozi Nwosu"/>
    <x v="3"/>
    <x v="2"/>
    <x v="67"/>
    <n v="807792.26"/>
    <n v="5"/>
    <x v="1"/>
  </r>
  <r>
    <s v="EMP110"/>
    <s v="Ibrahim Lawal"/>
    <x v="3"/>
    <x v="0"/>
    <x v="68"/>
    <n v="476703.12"/>
    <n v="0"/>
    <x v="1"/>
  </r>
  <r>
    <s v="EMP130"/>
    <s v="Chinedu Eze"/>
    <x v="4"/>
    <x v="1"/>
    <x v="69"/>
    <n v="669798.6"/>
    <n v="4"/>
    <x v="1"/>
  </r>
  <r>
    <s v="EMP113"/>
    <s v="Ngozi Nwosu"/>
    <x v="3"/>
    <x v="2"/>
    <x v="70"/>
    <n v="717143.03"/>
    <n v="2.1"/>
    <x v="2"/>
  </r>
  <r>
    <s v="EMP121"/>
    <s v="Michael Brown"/>
    <x v="0"/>
    <x v="1"/>
    <x v="71"/>
    <n v="816851.2"/>
    <n v="0"/>
    <x v="2"/>
  </r>
  <r>
    <s v="EMP135"/>
    <s v="Sophia Kim"/>
    <x v="4"/>
    <x v="2"/>
    <x v="72"/>
    <n v="728442.08"/>
    <n v="3.5"/>
    <x v="1"/>
  </r>
  <r>
    <s v="EMP118"/>
    <s v="Samuel Ade"/>
    <x v="2"/>
    <x v="1"/>
    <x v="73"/>
    <n v="423185.34"/>
    <n v="4"/>
    <x v="0"/>
  </r>
  <r>
    <s v="EMP129"/>
    <s v="Ada Okeke"/>
    <x v="4"/>
    <x v="2"/>
    <x v="74"/>
    <n v="165999.24"/>
    <n v="1.2"/>
    <x v="0"/>
  </r>
  <r>
    <s v="EMP113"/>
    <s v="Zainab Ali"/>
    <x v="1"/>
    <x v="0"/>
    <x v="75"/>
    <n v="0"/>
    <n v="5"/>
    <x v="2"/>
  </r>
  <r>
    <s v="EMP106"/>
    <s v="Samuel Ade"/>
    <x v="2"/>
    <x v="0"/>
    <x v="76"/>
    <n v="674184.71"/>
    <n v="0"/>
    <x v="2"/>
  </r>
  <r>
    <s v="EMP140"/>
    <s v="Samuel Ade"/>
    <x v="0"/>
    <x v="0"/>
    <x v="77"/>
    <n v="302916.15000000002"/>
    <n v="4"/>
    <x v="2"/>
  </r>
  <r>
    <s v="EMP113"/>
    <s v="Ibrahim Lawal"/>
    <x v="4"/>
    <x v="1"/>
    <x v="78"/>
    <n v="0"/>
    <n v="5"/>
    <x v="2"/>
  </r>
  <r>
    <s v="EMP121"/>
    <s v="Sophia Kim"/>
    <x v="1"/>
    <x v="1"/>
    <x v="79"/>
    <n v="517268.61"/>
    <n v="4.5"/>
    <x v="0"/>
  </r>
  <r>
    <s v="EMP109"/>
    <s v="Sophia Kim"/>
    <x v="2"/>
    <x v="0"/>
    <x v="80"/>
    <n v="304181.40999999997"/>
    <n v="3.5"/>
    <x v="1"/>
  </r>
  <r>
    <s v="EMP109"/>
    <s v="Michael Brown"/>
    <x v="4"/>
    <x v="1"/>
    <x v="81"/>
    <n v="349350.07"/>
    <n v="2.4"/>
    <x v="1"/>
  </r>
  <r>
    <s v="EMP130"/>
    <s v="Sophia Kim"/>
    <x v="0"/>
    <x v="2"/>
    <x v="82"/>
    <n v="566559.6"/>
    <n v="2.299999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62646-8719-444C-B521-1DCF56681C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location ref="B19:C23" firstHeaderRow="1" firstDataRow="1" firstDataCol="1"/>
  <pivotFields count="8">
    <pivotField showAll="0"/>
    <pivotField showAll="0"/>
    <pivotField showAll="0">
      <items count="6">
        <item x="0"/>
        <item x="3"/>
        <item x="4"/>
        <item x="2"/>
        <item x="1"/>
        <item t="default"/>
      </items>
    </pivotField>
    <pivotField axis="axisRow"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Fields count="1">
    <field x="3"/>
  </rowFields>
  <rowItems count="4">
    <i>
      <x/>
    </i>
    <i>
      <x v="1"/>
    </i>
    <i>
      <x v="2"/>
    </i>
    <i t="grand">
      <x/>
    </i>
  </rowItems>
  <colItems count="1">
    <i/>
  </colItems>
  <dataFields count="1">
    <dataField name="Count of Monthly_Salary" fld="5" subtotal="count" baseField="3"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C003F-DE49-495D-9043-010336A011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12:B16" firstHeaderRow="1" firstDataRow="1" firstDataCol="1"/>
  <pivotFields count="8">
    <pivotField showAll="0"/>
    <pivotField dataField="1"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showAll="0"/>
    <pivotField showAll="0"/>
    <pivotField axis="axisRow" showAll="0">
      <items count="4">
        <item x="0"/>
        <item x="1"/>
        <item x="2"/>
        <item t="default"/>
      </items>
    </pivotField>
  </pivotFields>
  <rowFields count="1">
    <field x="7"/>
  </rowFields>
  <rowItems count="4">
    <i>
      <x/>
    </i>
    <i>
      <x v="1"/>
    </i>
    <i>
      <x v="2"/>
    </i>
    <i t="grand">
      <x/>
    </i>
  </rowItems>
  <colItems count="1">
    <i/>
  </colItems>
  <dataFields count="1">
    <dataField name="Count of Employee_Name" fld="1" subtotal="count" baseField="7" baseItem="1"/>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7F817C-D00C-40EA-B77C-E86C08DEF2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location ref="C3:D9" firstHeaderRow="1" firstDataRow="1" firstDataCol="1"/>
  <pivotFields count="8">
    <pivotField showAll="0"/>
    <pivotField showAll="0"/>
    <pivotField axis="axisRow" showAll="0" sortType="a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showAll="0"/>
    <pivotField dataField="1" showAll="0"/>
    <pivotField showAll="0">
      <items count="4">
        <item x="0"/>
        <item x="1"/>
        <item x="2"/>
        <item t="default"/>
      </items>
    </pivotField>
  </pivotFields>
  <rowFields count="1">
    <field x="2"/>
  </rowFields>
  <rowItems count="6">
    <i>
      <x v="3"/>
    </i>
    <i>
      <x v="1"/>
    </i>
    <i>
      <x/>
    </i>
    <i>
      <x v="4"/>
    </i>
    <i>
      <x v="2"/>
    </i>
    <i t="grand">
      <x/>
    </i>
  </rowItems>
  <colItems count="1">
    <i/>
  </colItems>
  <dataFields count="1">
    <dataField name="Sum of Performance_Score" fld="6"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D72FAF-371B-4506-B2B6-132D295448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8">
    <pivotField showAll="0"/>
    <pivotField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Items count="1">
    <i/>
  </rowItems>
  <colItems count="1">
    <i/>
  </colItems>
  <dataFields count="1">
    <dataField name="Min. of Monthly_Salary"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F9D2F2-CAB6-4F37-B679-4466F88503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items count="6">
        <item x="0"/>
        <item x="3"/>
        <item x="4"/>
        <item x="2"/>
        <item x="1"/>
        <item t="default"/>
      </items>
    </pivotField>
    <pivotField showAll="0">
      <items count="4">
        <item x="0"/>
        <item x="1"/>
        <item x="2"/>
        <item t="default"/>
      </items>
    </pivotField>
    <pivotField numFmtId="14" showAll="0">
      <items count="84">
        <item x="73"/>
        <item x="50"/>
        <item x="47"/>
        <item x="45"/>
        <item x="26"/>
        <item x="21"/>
        <item x="14"/>
        <item x="61"/>
        <item x="44"/>
        <item x="18"/>
        <item x="79"/>
        <item x="34"/>
        <item x="2"/>
        <item x="19"/>
        <item x="6"/>
        <item x="33"/>
        <item x="82"/>
        <item x="40"/>
        <item x="5"/>
        <item x="60"/>
        <item x="27"/>
        <item x="70"/>
        <item x="55"/>
        <item x="51"/>
        <item x="64"/>
        <item x="36"/>
        <item x="48"/>
        <item x="13"/>
        <item x="81"/>
        <item x="17"/>
        <item x="78"/>
        <item x="22"/>
        <item x="42"/>
        <item x="74"/>
        <item x="65"/>
        <item x="66"/>
        <item x="57"/>
        <item x="20"/>
        <item x="1"/>
        <item x="38"/>
        <item x="49"/>
        <item x="41"/>
        <item x="62"/>
        <item x="32"/>
        <item x="69"/>
        <item x="54"/>
        <item x="58"/>
        <item x="7"/>
        <item x="10"/>
        <item x="23"/>
        <item x="43"/>
        <item x="16"/>
        <item x="0"/>
        <item x="37"/>
        <item x="46"/>
        <item x="39"/>
        <item x="68"/>
        <item x="24"/>
        <item x="9"/>
        <item x="28"/>
        <item x="53"/>
        <item x="3"/>
        <item x="12"/>
        <item x="15"/>
        <item x="71"/>
        <item x="8"/>
        <item x="59"/>
        <item x="77"/>
        <item x="31"/>
        <item x="52"/>
        <item x="76"/>
        <item x="35"/>
        <item x="80"/>
        <item x="75"/>
        <item x="72"/>
        <item x="56"/>
        <item x="25"/>
        <item x="63"/>
        <item x="29"/>
        <item x="11"/>
        <item x="4"/>
        <item x="67"/>
        <item x="30"/>
        <item t="default"/>
      </items>
    </pivotField>
    <pivotField dataField="1" showAll="0"/>
    <pivotField showAll="0"/>
    <pivotField showAll="0">
      <items count="4">
        <item x="0"/>
        <item x="1"/>
        <item x="2"/>
        <item t="default"/>
      </items>
    </pivotField>
  </pivotFields>
  <rowItems count="1">
    <i/>
  </rowItems>
  <colItems count="1">
    <i/>
  </colItems>
  <dataFields count="1">
    <dataField name="Max. of Monthly_Salary"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956DA7-1498-4F0D-9F4A-0340E159ED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8">
    <pivotField showAll="0"/>
    <pivotField showAll="0"/>
    <pivotField axis="axisRow" showAll="0" sortType="ascending">
      <items count="6">
        <item x="0"/>
        <item x="3"/>
        <item x="4"/>
        <item x="2"/>
        <item x="1"/>
        <item t="default"/>
      </items>
      <autoSortScope>
        <pivotArea dataOnly="0" outline="0" fieldPosition="0">
          <references count="1">
            <reference field="4294967294" count="1" selected="0">
              <x v="1"/>
            </reference>
          </references>
        </pivotArea>
      </autoSortScope>
    </pivotField>
    <pivotField showAll="0"/>
    <pivotField numFmtId="14" showAll="0"/>
    <pivotField dataField="1" showAll="0"/>
    <pivotField dataField="1" showAll="0"/>
    <pivotField showAll="0"/>
  </pivotFields>
  <rowFields count="1">
    <field x="2"/>
  </rowFields>
  <rowItems count="6">
    <i>
      <x v="3"/>
    </i>
    <i>
      <x v="1"/>
    </i>
    <i>
      <x/>
    </i>
    <i>
      <x v="4"/>
    </i>
    <i>
      <x v="2"/>
    </i>
    <i t="grand">
      <x/>
    </i>
  </rowItems>
  <colFields count="1">
    <field x="-2"/>
  </colFields>
  <colItems count="2">
    <i>
      <x/>
    </i>
    <i i="1">
      <x v="1"/>
    </i>
  </colItems>
  <dataFields count="2">
    <dataField name="Count of Monthly_Salary" fld="5" subtotal="count" baseField="2" baseItem="0"/>
    <dataField name="Sum of Performance_Score" fld="6"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3CBE9FF-02BA-4A96-8FAB-249E937D3C3A}" sourceName="Department">
  <pivotTables>
    <pivotTable tabId="3" name="PivotTable6"/>
    <pivotTable tabId="3" name="PivotTable2"/>
    <pivotTable tabId="3" name="PivotTable3"/>
    <pivotTable tabId="3" name="PivotTable4"/>
    <pivotTable tabId="3" name="PivotTable5"/>
  </pivotTables>
  <data>
    <tabular pivotCacheId="77502028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4795DAF1-A106-4AEF-B81A-B8C7F99260AF}" sourceName="Job_Level">
  <pivotTables>
    <pivotTable tabId="3" name="PivotTable6"/>
    <pivotTable tabId="3" name="PivotTable2"/>
    <pivotTable tabId="3" name="PivotTable3"/>
    <pivotTable tabId="3" name="PivotTable4"/>
    <pivotTable tabId="3" name="PivotTable5"/>
  </pivotTables>
  <data>
    <tabular pivotCacheId="7750202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D9114770-DADD-4667-91A6-F6774EAEBC3C}" sourceName="Work_Location">
  <pivotTables>
    <pivotTable tabId="3" name="PivotTable6"/>
    <pivotTable tabId="3" name="PivotTable2"/>
    <pivotTable tabId="3" name="PivotTable3"/>
    <pivotTable tabId="3" name="PivotTable4"/>
    <pivotTable tabId="3" name="PivotTable5"/>
  </pivotTables>
  <data>
    <tabular pivotCacheId="7750202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399324-2333-4C72-A59B-551670213C28}" cache="Slicer_Department" caption="Department" rowHeight="241300"/>
  <slicer name="Job_Level" xr10:uid="{142D6BCA-B0CA-4B43-BBA6-30F19EA67579}" cache="Slicer_Job_Level" caption="Job_Level" rowHeight="241300"/>
  <slicer name="Work_Location" xr10:uid="{AE74D8CD-BDFD-4CD4-AB8A-C1A38F1AA232}" cache="Slicer_Work_Location" caption="Work_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340F982-2305-4420-8ED2-D9BA87987E36}" cache="Slicer_Department" caption="Department" rowHeight="241300"/>
  <slicer name="Job_Level 1" xr10:uid="{F415EFFD-F0F3-47A9-A8C9-11070FC38ABC}" cache="Slicer_Job_Level" caption="Job_Level" rowHeight="241300"/>
  <slicer name="Work_Location 1" xr10:uid="{032DBF48-1927-4C24-A6B9-0CF470D0D932}" cache="Slicer_Work_Location" caption="Work_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92844E-DC83-4737-80DC-96E30AABE4A7}" name="Table4" displayName="Table4" ref="A1:H85" totalsRowShown="0">
  <autoFilter ref="A1:H85" xr:uid="{8092844E-DC83-4737-80DC-96E30AABE4A7}"/>
  <tableColumns count="8">
    <tableColumn id="1" xr3:uid="{00211AB9-EC78-471C-B244-135DD0D537EF}" name="Employee_ID"/>
    <tableColumn id="2" xr3:uid="{BBDE8530-DA1F-47B8-8892-A94EF588EDE3}" name="Employee_Name"/>
    <tableColumn id="3" xr3:uid="{153FE88E-1F77-452E-BE19-B982CDBD96BE}" name="Department"/>
    <tableColumn id="4" xr3:uid="{F0BAF3BB-2398-4CC4-AE7C-A59ACDC33A77}" name="Job_Level"/>
    <tableColumn id="5" xr3:uid="{03173AD1-7895-4635-98E9-4312DEA87809}" name="Hire_Date" dataDxfId="0"/>
    <tableColumn id="6" xr3:uid="{6A1B67FE-516D-42FF-A59C-5EEC91DD4B1B}" name="Monthly_Salary"/>
    <tableColumn id="7" xr3:uid="{31696A5A-0B24-4CD1-B8F9-746929750FFE}" name="Performance_Score"/>
    <tableColumn id="8" xr3:uid="{49927902-3BD6-4EB4-9C23-3E4A7348990E}" name="Work_Location"/>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92A0-75C2-4899-87E6-8C172090DFBD}">
  <dimension ref="A3:D23"/>
  <sheetViews>
    <sheetView topLeftCell="A12" workbookViewId="0">
      <selection activeCell="B14" sqref="B14"/>
    </sheetView>
  </sheetViews>
  <sheetFormatPr defaultRowHeight="14.5" x14ac:dyDescent="0.35"/>
  <cols>
    <col min="1" max="1" width="12.36328125" bestFit="1" customWidth="1"/>
    <col min="2" max="2" width="22.90625" bestFit="1" customWidth="1"/>
    <col min="3" max="3" width="12.36328125" bestFit="1" customWidth="1"/>
    <col min="4" max="4" width="23.7265625" bestFit="1" customWidth="1"/>
  </cols>
  <sheetData>
    <row r="3" spans="1:4" x14ac:dyDescent="0.35">
      <c r="A3" t="s">
        <v>63</v>
      </c>
      <c r="C3" s="2" t="s">
        <v>65</v>
      </c>
      <c r="D3" t="s">
        <v>67</v>
      </c>
    </row>
    <row r="4" spans="1:4" x14ac:dyDescent="0.35">
      <c r="A4">
        <v>838877.7</v>
      </c>
      <c r="C4" s="3" t="s">
        <v>61</v>
      </c>
      <c r="D4">
        <v>27.6</v>
      </c>
    </row>
    <row r="5" spans="1:4" x14ac:dyDescent="0.35">
      <c r="C5" s="3" t="s">
        <v>21</v>
      </c>
      <c r="D5">
        <v>48.7</v>
      </c>
    </row>
    <row r="6" spans="1:4" x14ac:dyDescent="0.35">
      <c r="A6" t="s">
        <v>64</v>
      </c>
      <c r="C6" s="3" t="s">
        <v>26</v>
      </c>
      <c r="D6">
        <v>50.599999999999994</v>
      </c>
    </row>
    <row r="7" spans="1:4" x14ac:dyDescent="0.35">
      <c r="A7">
        <v>0</v>
      </c>
      <c r="C7" s="3" t="s">
        <v>62</v>
      </c>
      <c r="D7">
        <v>52.3</v>
      </c>
    </row>
    <row r="8" spans="1:4" x14ac:dyDescent="0.35">
      <c r="C8" s="3" t="s">
        <v>23</v>
      </c>
      <c r="D8">
        <v>77.7</v>
      </c>
    </row>
    <row r="9" spans="1:4" x14ac:dyDescent="0.35">
      <c r="C9" s="3" t="s">
        <v>66</v>
      </c>
      <c r="D9">
        <v>256.89999999999998</v>
      </c>
    </row>
    <row r="12" spans="1:4" x14ac:dyDescent="0.35">
      <c r="A12" s="2" t="s">
        <v>65</v>
      </c>
      <c r="B12" t="s">
        <v>68</v>
      </c>
    </row>
    <row r="13" spans="1:4" x14ac:dyDescent="0.35">
      <c r="A13" s="3" t="s">
        <v>10</v>
      </c>
      <c r="B13">
        <v>28</v>
      </c>
    </row>
    <row r="14" spans="1:4" x14ac:dyDescent="0.35">
      <c r="A14" s="3" t="s">
        <v>18</v>
      </c>
      <c r="B14">
        <v>25</v>
      </c>
    </row>
    <row r="15" spans="1:4" x14ac:dyDescent="0.35">
      <c r="A15" s="3" t="s">
        <v>16</v>
      </c>
      <c r="B15">
        <v>31</v>
      </c>
    </row>
    <row r="16" spans="1:4" x14ac:dyDescent="0.35">
      <c r="A16" s="3" t="s">
        <v>66</v>
      </c>
      <c r="B16">
        <v>84</v>
      </c>
    </row>
    <row r="19" spans="2:3" x14ac:dyDescent="0.35">
      <c r="B19" s="2" t="s">
        <v>65</v>
      </c>
      <c r="C19" t="s">
        <v>69</v>
      </c>
    </row>
    <row r="20" spans="2:3" x14ac:dyDescent="0.35">
      <c r="B20" s="3" t="s">
        <v>15</v>
      </c>
      <c r="C20">
        <v>33</v>
      </c>
    </row>
    <row r="21" spans="2:3" x14ac:dyDescent="0.35">
      <c r="B21" s="3" t="s">
        <v>13</v>
      </c>
      <c r="C21">
        <v>25</v>
      </c>
    </row>
    <row r="22" spans="2:3" x14ac:dyDescent="0.35">
      <c r="B22" s="3" t="s">
        <v>29</v>
      </c>
      <c r="C22">
        <v>26</v>
      </c>
    </row>
    <row r="23" spans="2:3" x14ac:dyDescent="0.35">
      <c r="B23" s="3" t="s">
        <v>66</v>
      </c>
      <c r="C23">
        <v>84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8E88-1C8D-4A34-BD88-4DA20A0DECD8}">
  <dimension ref="F13:J14"/>
  <sheetViews>
    <sheetView tabSelected="1" workbookViewId="0">
      <selection sqref="A1:XFD1048576"/>
    </sheetView>
  </sheetViews>
  <sheetFormatPr defaultRowHeight="14.5" x14ac:dyDescent="0.35"/>
  <sheetData>
    <row r="13" spans="6:10" x14ac:dyDescent="0.35">
      <c r="J13">
        <f>GETPIVOTDATA("Monthly_Salary",'pivot table'!$A$7)</f>
        <v>0</v>
      </c>
    </row>
    <row r="14" spans="6:10" x14ac:dyDescent="0.35">
      <c r="F14">
        <f>GETPIVOTDATA("Monthly_Salary",'pivot table'!$A$4)</f>
        <v>838877.7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5BDA-A5A9-4C6A-A00F-1F03C4EC4A6D}">
  <dimension ref="A3:C9"/>
  <sheetViews>
    <sheetView workbookViewId="0">
      <selection activeCell="C4" sqref="C4"/>
    </sheetView>
  </sheetViews>
  <sheetFormatPr defaultRowHeight="14.5" x14ac:dyDescent="0.35"/>
  <cols>
    <col min="1" max="1" width="12.36328125" bestFit="1" customWidth="1"/>
    <col min="2" max="2" width="21.90625" bestFit="1" customWidth="1"/>
    <col min="3" max="3" width="23.7265625" bestFit="1" customWidth="1"/>
  </cols>
  <sheetData>
    <row r="3" spans="1:3" x14ac:dyDescent="0.35">
      <c r="A3" s="2" t="s">
        <v>65</v>
      </c>
      <c r="B3" t="s">
        <v>69</v>
      </c>
      <c r="C3" t="s">
        <v>67</v>
      </c>
    </row>
    <row r="4" spans="1:3" x14ac:dyDescent="0.35">
      <c r="A4" s="3" t="s">
        <v>61</v>
      </c>
      <c r="B4">
        <v>9</v>
      </c>
      <c r="C4">
        <v>27.6</v>
      </c>
    </row>
    <row r="5" spans="1:3" x14ac:dyDescent="0.35">
      <c r="A5" s="3" t="s">
        <v>21</v>
      </c>
      <c r="B5">
        <v>18</v>
      </c>
      <c r="C5">
        <v>48.7</v>
      </c>
    </row>
    <row r="6" spans="1:3" x14ac:dyDescent="0.35">
      <c r="A6" s="3" t="s">
        <v>26</v>
      </c>
      <c r="B6">
        <v>20</v>
      </c>
      <c r="C6">
        <v>50.599999999999994</v>
      </c>
    </row>
    <row r="7" spans="1:3" x14ac:dyDescent="0.35">
      <c r="A7" s="3" t="s">
        <v>62</v>
      </c>
      <c r="B7">
        <v>15</v>
      </c>
      <c r="C7">
        <v>52.3</v>
      </c>
    </row>
    <row r="8" spans="1:3" x14ac:dyDescent="0.35">
      <c r="A8" s="3" t="s">
        <v>23</v>
      </c>
      <c r="B8">
        <v>22</v>
      </c>
      <c r="C8">
        <v>77.7</v>
      </c>
    </row>
    <row r="9" spans="1:3" x14ac:dyDescent="0.35">
      <c r="A9" s="3" t="s">
        <v>66</v>
      </c>
      <c r="B9">
        <v>84</v>
      </c>
      <c r="C9">
        <v>256.89999999999998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
  <sheetViews>
    <sheetView topLeftCell="A2" workbookViewId="0">
      <selection activeCell="E16" sqref="E16"/>
    </sheetView>
  </sheetViews>
  <sheetFormatPr defaultRowHeight="14.5" x14ac:dyDescent="0.35"/>
  <cols>
    <col min="1" max="1" width="13.81640625" customWidth="1"/>
    <col min="2" max="2" width="16.90625" customWidth="1"/>
    <col min="3" max="3" width="17.54296875" customWidth="1"/>
    <col min="4" max="4" width="15.1796875" customWidth="1"/>
    <col min="5" max="5" width="11.26953125" customWidth="1"/>
    <col min="6" max="6" width="15.90625" customWidth="1"/>
    <col min="7" max="7" width="19.26953125" customWidth="1"/>
    <col min="8" max="8" width="17.26953125" customWidth="1"/>
  </cols>
  <sheetData>
    <row r="1" spans="1:8" x14ac:dyDescent="0.35">
      <c r="A1" t="s">
        <v>0</v>
      </c>
      <c r="B1" t="s">
        <v>1</v>
      </c>
      <c r="C1" t="s">
        <v>2</v>
      </c>
      <c r="D1" t="s">
        <v>3</v>
      </c>
      <c r="E1" t="s">
        <v>4</v>
      </c>
      <c r="F1" t="s">
        <v>5</v>
      </c>
      <c r="G1" t="s">
        <v>6</v>
      </c>
      <c r="H1" t="s">
        <v>7</v>
      </c>
    </row>
    <row r="2" spans="1:8" x14ac:dyDescent="0.35">
      <c r="A2" t="s">
        <v>8</v>
      </c>
      <c r="B2" t="s">
        <v>9</v>
      </c>
      <c r="C2" t="s">
        <v>26</v>
      </c>
      <c r="D2" t="s">
        <v>15</v>
      </c>
      <c r="E2" s="1">
        <v>44360</v>
      </c>
      <c r="F2">
        <v>200755.87</v>
      </c>
      <c r="G2">
        <v>0</v>
      </c>
      <c r="H2" t="s">
        <v>10</v>
      </c>
    </row>
    <row r="3" spans="1:8" x14ac:dyDescent="0.35">
      <c r="A3" t="s">
        <v>11</v>
      </c>
      <c r="B3" t="s">
        <v>12</v>
      </c>
      <c r="C3" t="s">
        <v>62</v>
      </c>
      <c r="D3" t="s">
        <v>13</v>
      </c>
      <c r="E3" s="1">
        <v>44130</v>
      </c>
      <c r="F3">
        <v>499045.51</v>
      </c>
      <c r="G3">
        <v>3.5</v>
      </c>
      <c r="H3" t="s">
        <v>18</v>
      </c>
    </row>
    <row r="4" spans="1:8" x14ac:dyDescent="0.35">
      <c r="A4" t="s">
        <v>14</v>
      </c>
      <c r="B4" t="s">
        <v>55</v>
      </c>
      <c r="C4" t="s">
        <v>61</v>
      </c>
      <c r="D4" t="s">
        <v>15</v>
      </c>
      <c r="E4" s="1">
        <v>43388</v>
      </c>
      <c r="F4">
        <v>0</v>
      </c>
      <c r="G4">
        <v>3.1</v>
      </c>
      <c r="H4" t="s">
        <v>16</v>
      </c>
    </row>
    <row r="5" spans="1:8" x14ac:dyDescent="0.35">
      <c r="A5" t="s">
        <v>17</v>
      </c>
      <c r="B5" t="s">
        <v>9</v>
      </c>
      <c r="C5" t="s">
        <v>21</v>
      </c>
      <c r="D5" t="s">
        <v>13</v>
      </c>
      <c r="E5" s="1">
        <v>44540</v>
      </c>
      <c r="F5">
        <v>827670.62</v>
      </c>
      <c r="G5">
        <v>4</v>
      </c>
      <c r="H5" t="s">
        <v>18</v>
      </c>
    </row>
    <row r="6" spans="1:8" x14ac:dyDescent="0.35">
      <c r="A6" t="s">
        <v>19</v>
      </c>
      <c r="B6" t="s">
        <v>56</v>
      </c>
      <c r="C6" t="s">
        <v>61</v>
      </c>
      <c r="D6" t="s">
        <v>15</v>
      </c>
      <c r="E6" s="1">
        <v>44960</v>
      </c>
      <c r="F6">
        <v>132799.34</v>
      </c>
      <c r="G6">
        <v>0</v>
      </c>
      <c r="H6" t="s">
        <v>16</v>
      </c>
    </row>
    <row r="7" spans="1:8" x14ac:dyDescent="0.35">
      <c r="A7" t="s">
        <v>20</v>
      </c>
      <c r="B7" t="s">
        <v>55</v>
      </c>
      <c r="C7" t="s">
        <v>21</v>
      </c>
      <c r="D7" t="s">
        <v>13</v>
      </c>
      <c r="E7" s="1">
        <v>43514</v>
      </c>
      <c r="F7">
        <v>0</v>
      </c>
      <c r="G7">
        <v>3.6</v>
      </c>
      <c r="H7" t="s">
        <v>16</v>
      </c>
    </row>
    <row r="8" spans="1:8" x14ac:dyDescent="0.35">
      <c r="A8" t="s">
        <v>22</v>
      </c>
      <c r="B8" t="s">
        <v>9</v>
      </c>
      <c r="C8" t="s">
        <v>23</v>
      </c>
      <c r="D8" t="s">
        <v>13</v>
      </c>
      <c r="E8" s="1">
        <v>43442</v>
      </c>
      <c r="F8">
        <v>627957.94999999995</v>
      </c>
      <c r="G8">
        <v>5</v>
      </c>
      <c r="H8" t="s">
        <v>16</v>
      </c>
    </row>
    <row r="9" spans="1:8" x14ac:dyDescent="0.35">
      <c r="A9" t="s">
        <v>24</v>
      </c>
      <c r="B9" t="s">
        <v>57</v>
      </c>
      <c r="C9" t="s">
        <v>21</v>
      </c>
      <c r="D9" t="s">
        <v>13</v>
      </c>
      <c r="E9" s="1">
        <v>44247</v>
      </c>
      <c r="F9">
        <v>174927.68</v>
      </c>
      <c r="G9">
        <v>4</v>
      </c>
      <c r="H9" t="s">
        <v>18</v>
      </c>
    </row>
    <row r="10" spans="1:8" x14ac:dyDescent="0.35">
      <c r="A10" t="s">
        <v>25</v>
      </c>
      <c r="B10" t="s">
        <v>58</v>
      </c>
      <c r="C10" t="s">
        <v>21</v>
      </c>
      <c r="D10" t="s">
        <v>15</v>
      </c>
      <c r="E10" s="1">
        <v>44634</v>
      </c>
      <c r="F10">
        <v>524589.18999999994</v>
      </c>
      <c r="G10">
        <v>3.3</v>
      </c>
      <c r="H10" t="s">
        <v>16</v>
      </c>
    </row>
    <row r="11" spans="1:8" x14ac:dyDescent="0.35">
      <c r="A11" t="s">
        <v>22</v>
      </c>
      <c r="B11" t="s">
        <v>56</v>
      </c>
      <c r="C11" t="s">
        <v>26</v>
      </c>
      <c r="D11" t="s">
        <v>15</v>
      </c>
      <c r="E11" s="1">
        <v>44429</v>
      </c>
      <c r="F11">
        <v>0</v>
      </c>
      <c r="G11">
        <v>4</v>
      </c>
      <c r="H11" t="s">
        <v>10</v>
      </c>
    </row>
    <row r="12" spans="1:8" x14ac:dyDescent="0.35">
      <c r="A12" t="s">
        <v>20</v>
      </c>
      <c r="B12" t="s">
        <v>27</v>
      </c>
      <c r="C12" t="s">
        <v>23</v>
      </c>
      <c r="D12" t="s">
        <v>29</v>
      </c>
      <c r="E12" s="1">
        <v>44271</v>
      </c>
      <c r="F12">
        <v>393356.24</v>
      </c>
      <c r="G12">
        <v>4</v>
      </c>
      <c r="H12" t="s">
        <v>16</v>
      </c>
    </row>
    <row r="13" spans="1:8" x14ac:dyDescent="0.35">
      <c r="A13" t="s">
        <v>11</v>
      </c>
      <c r="B13" t="s">
        <v>27</v>
      </c>
      <c r="C13" t="s">
        <v>61</v>
      </c>
      <c r="D13" t="s">
        <v>13</v>
      </c>
      <c r="E13" s="1">
        <v>44954</v>
      </c>
      <c r="F13">
        <v>224356.35</v>
      </c>
      <c r="G13">
        <v>3.5</v>
      </c>
      <c r="H13" t="s">
        <v>18</v>
      </c>
    </row>
    <row r="14" spans="1:8" x14ac:dyDescent="0.35">
      <c r="A14" t="s">
        <v>28</v>
      </c>
      <c r="B14" t="s">
        <v>9</v>
      </c>
      <c r="C14" t="s">
        <v>62</v>
      </c>
      <c r="D14" t="s">
        <v>29</v>
      </c>
      <c r="E14" s="1">
        <v>44546</v>
      </c>
      <c r="F14">
        <v>256629.01</v>
      </c>
      <c r="G14">
        <v>0</v>
      </c>
      <c r="H14" t="s">
        <v>10</v>
      </c>
    </row>
    <row r="15" spans="1:8" x14ac:dyDescent="0.35">
      <c r="A15" t="s">
        <v>30</v>
      </c>
      <c r="B15" t="s">
        <v>55</v>
      </c>
      <c r="C15" t="s">
        <v>23</v>
      </c>
      <c r="D15" t="s">
        <v>13</v>
      </c>
      <c r="E15" s="1">
        <v>43728</v>
      </c>
      <c r="F15">
        <v>573185.1</v>
      </c>
      <c r="G15">
        <v>0</v>
      </c>
      <c r="H15" t="s">
        <v>10</v>
      </c>
    </row>
    <row r="16" spans="1:8" x14ac:dyDescent="0.35">
      <c r="A16" t="s">
        <v>31</v>
      </c>
      <c r="B16" t="s">
        <v>12</v>
      </c>
      <c r="C16" t="s">
        <v>62</v>
      </c>
      <c r="D16" t="s">
        <v>13</v>
      </c>
      <c r="E16" s="1">
        <v>43327</v>
      </c>
      <c r="F16">
        <v>263467.39</v>
      </c>
      <c r="G16">
        <v>0</v>
      </c>
      <c r="H16" t="s">
        <v>18</v>
      </c>
    </row>
    <row r="17" spans="1:8" x14ac:dyDescent="0.35">
      <c r="A17" t="s">
        <v>32</v>
      </c>
      <c r="B17" t="s">
        <v>59</v>
      </c>
      <c r="C17" t="s">
        <v>23</v>
      </c>
      <c r="D17" t="s">
        <v>29</v>
      </c>
      <c r="E17" s="1">
        <v>44558</v>
      </c>
      <c r="F17">
        <v>772070.3</v>
      </c>
      <c r="G17">
        <v>0</v>
      </c>
      <c r="H17" t="s">
        <v>10</v>
      </c>
    </row>
    <row r="18" spans="1:8" x14ac:dyDescent="0.35">
      <c r="A18" t="s">
        <v>33</v>
      </c>
      <c r="B18" t="s">
        <v>59</v>
      </c>
      <c r="C18" t="s">
        <v>23</v>
      </c>
      <c r="D18" t="s">
        <v>13</v>
      </c>
      <c r="E18" s="1">
        <v>44356</v>
      </c>
      <c r="F18">
        <v>587638.99</v>
      </c>
      <c r="G18">
        <v>4</v>
      </c>
      <c r="H18" t="s">
        <v>18</v>
      </c>
    </row>
    <row r="19" spans="1:8" x14ac:dyDescent="0.35">
      <c r="A19" t="s">
        <v>34</v>
      </c>
      <c r="B19" t="s">
        <v>27</v>
      </c>
      <c r="C19" t="s">
        <v>26</v>
      </c>
      <c r="D19" t="s">
        <v>29</v>
      </c>
      <c r="E19" s="1">
        <v>43755</v>
      </c>
      <c r="F19">
        <v>343550.78</v>
      </c>
      <c r="G19">
        <v>0</v>
      </c>
      <c r="H19" t="s">
        <v>18</v>
      </c>
    </row>
    <row r="20" spans="1:8" x14ac:dyDescent="0.35">
      <c r="A20" t="s">
        <v>35</v>
      </c>
      <c r="B20" t="s">
        <v>9</v>
      </c>
      <c r="C20" t="s">
        <v>62</v>
      </c>
      <c r="D20" t="s">
        <v>15</v>
      </c>
      <c r="E20" s="1">
        <v>43364</v>
      </c>
      <c r="F20">
        <v>360154.89</v>
      </c>
      <c r="G20">
        <v>4</v>
      </c>
      <c r="H20" t="s">
        <v>10</v>
      </c>
    </row>
    <row r="21" spans="1:8" x14ac:dyDescent="0.35">
      <c r="A21" t="s">
        <v>36</v>
      </c>
      <c r="B21" t="s">
        <v>9</v>
      </c>
      <c r="C21" t="s">
        <v>23</v>
      </c>
      <c r="D21" t="s">
        <v>15</v>
      </c>
      <c r="E21" s="1">
        <v>43402</v>
      </c>
      <c r="F21">
        <v>678881.09</v>
      </c>
      <c r="G21">
        <v>5</v>
      </c>
      <c r="H21" t="s">
        <v>10</v>
      </c>
    </row>
    <row r="22" spans="1:8" x14ac:dyDescent="0.35">
      <c r="A22" t="s">
        <v>14</v>
      </c>
      <c r="B22" t="s">
        <v>57</v>
      </c>
      <c r="C22" t="s">
        <v>62</v>
      </c>
      <c r="D22" t="s">
        <v>13</v>
      </c>
      <c r="E22" s="1">
        <v>44113</v>
      </c>
      <c r="F22">
        <v>581167.12</v>
      </c>
      <c r="G22">
        <v>4</v>
      </c>
      <c r="H22" t="s">
        <v>18</v>
      </c>
    </row>
    <row r="23" spans="1:8" x14ac:dyDescent="0.35">
      <c r="A23" t="s">
        <v>37</v>
      </c>
      <c r="B23" t="s">
        <v>38</v>
      </c>
      <c r="C23" t="s">
        <v>23</v>
      </c>
      <c r="D23" t="s">
        <v>13</v>
      </c>
      <c r="E23" s="1">
        <v>43311</v>
      </c>
      <c r="F23">
        <v>138001.9</v>
      </c>
      <c r="G23">
        <v>4</v>
      </c>
      <c r="H23" t="s">
        <v>16</v>
      </c>
    </row>
    <row r="24" spans="1:8" x14ac:dyDescent="0.35">
      <c r="A24" t="s">
        <v>39</v>
      </c>
      <c r="B24" t="s">
        <v>9</v>
      </c>
      <c r="C24" t="s">
        <v>61</v>
      </c>
      <c r="D24" t="s">
        <v>15</v>
      </c>
      <c r="E24" s="1">
        <v>43816</v>
      </c>
      <c r="F24">
        <v>276055.12</v>
      </c>
      <c r="G24">
        <v>5</v>
      </c>
      <c r="H24" t="s">
        <v>16</v>
      </c>
    </row>
    <row r="25" spans="1:8" x14ac:dyDescent="0.35">
      <c r="A25" t="s">
        <v>40</v>
      </c>
      <c r="B25" t="s">
        <v>60</v>
      </c>
      <c r="C25" t="s">
        <v>21</v>
      </c>
      <c r="D25" t="s">
        <v>15</v>
      </c>
      <c r="E25" s="1">
        <v>44286</v>
      </c>
      <c r="F25">
        <v>414305.66</v>
      </c>
      <c r="G25">
        <v>0</v>
      </c>
      <c r="H25" t="s">
        <v>16</v>
      </c>
    </row>
    <row r="26" spans="1:8" x14ac:dyDescent="0.35">
      <c r="A26" t="s">
        <v>8</v>
      </c>
      <c r="B26" t="s">
        <v>38</v>
      </c>
      <c r="C26" t="s">
        <v>26</v>
      </c>
      <c r="D26" t="s">
        <v>15</v>
      </c>
      <c r="E26" s="1">
        <v>44421</v>
      </c>
      <c r="F26">
        <v>414261.81</v>
      </c>
      <c r="G26">
        <v>4</v>
      </c>
      <c r="H26" t="s">
        <v>16</v>
      </c>
    </row>
    <row r="27" spans="1:8" x14ac:dyDescent="0.35">
      <c r="A27" t="s">
        <v>41</v>
      </c>
      <c r="B27" t="s">
        <v>56</v>
      </c>
      <c r="C27" t="s">
        <v>23</v>
      </c>
      <c r="D27" t="s">
        <v>29</v>
      </c>
      <c r="E27" s="1">
        <v>44876</v>
      </c>
      <c r="F27">
        <v>580475.34</v>
      </c>
      <c r="G27">
        <v>5</v>
      </c>
      <c r="H27" t="s">
        <v>16</v>
      </c>
    </row>
    <row r="28" spans="1:8" x14ac:dyDescent="0.35">
      <c r="A28" t="s">
        <v>25</v>
      </c>
      <c r="B28" t="s">
        <v>59</v>
      </c>
      <c r="C28" t="s">
        <v>21</v>
      </c>
      <c r="D28" t="s">
        <v>15</v>
      </c>
      <c r="E28" s="1">
        <v>43288</v>
      </c>
      <c r="F28">
        <v>0</v>
      </c>
      <c r="G28">
        <v>2.6</v>
      </c>
      <c r="H28" t="s">
        <v>10</v>
      </c>
    </row>
    <row r="29" spans="1:8" x14ac:dyDescent="0.35">
      <c r="A29" t="s">
        <v>42</v>
      </c>
      <c r="B29" t="s">
        <v>60</v>
      </c>
      <c r="C29" t="s">
        <v>21</v>
      </c>
      <c r="D29" t="s">
        <v>15</v>
      </c>
      <c r="E29" s="1">
        <v>43530</v>
      </c>
      <c r="F29">
        <v>713409.38</v>
      </c>
      <c r="G29">
        <v>5</v>
      </c>
      <c r="H29" t="s">
        <v>16</v>
      </c>
    </row>
    <row r="30" spans="1:8" x14ac:dyDescent="0.35">
      <c r="A30" t="s">
        <v>17</v>
      </c>
      <c r="B30" t="s">
        <v>38</v>
      </c>
      <c r="C30" t="s">
        <v>26</v>
      </c>
      <c r="D30" t="s">
        <v>13</v>
      </c>
      <c r="E30" s="1">
        <v>44472</v>
      </c>
      <c r="F30">
        <v>186020.87</v>
      </c>
      <c r="G30">
        <v>5</v>
      </c>
      <c r="H30" t="s">
        <v>18</v>
      </c>
    </row>
    <row r="31" spans="1:8" x14ac:dyDescent="0.35">
      <c r="A31" t="s">
        <v>25</v>
      </c>
      <c r="B31" t="s">
        <v>38</v>
      </c>
      <c r="C31" t="s">
        <v>23</v>
      </c>
      <c r="D31" t="s">
        <v>29</v>
      </c>
      <c r="E31" s="1">
        <v>44951</v>
      </c>
      <c r="F31">
        <v>355947.16</v>
      </c>
      <c r="G31">
        <v>4.5999999999999996</v>
      </c>
      <c r="H31" t="s">
        <v>10</v>
      </c>
    </row>
    <row r="32" spans="1:8" x14ac:dyDescent="0.35">
      <c r="A32" t="s">
        <v>20</v>
      </c>
      <c r="B32" t="s">
        <v>56</v>
      </c>
      <c r="C32" t="s">
        <v>26</v>
      </c>
      <c r="D32" t="s">
        <v>13</v>
      </c>
      <c r="E32" s="1">
        <v>45036</v>
      </c>
      <c r="F32">
        <v>272395.05</v>
      </c>
      <c r="G32">
        <v>1.2</v>
      </c>
      <c r="H32" t="s">
        <v>18</v>
      </c>
    </row>
    <row r="33" spans="1:8" x14ac:dyDescent="0.35">
      <c r="A33" t="s">
        <v>43</v>
      </c>
      <c r="B33" t="s">
        <v>56</v>
      </c>
      <c r="C33" t="s">
        <v>26</v>
      </c>
      <c r="D33" t="s">
        <v>15</v>
      </c>
      <c r="E33" s="1">
        <v>44643</v>
      </c>
      <c r="F33">
        <v>153297.13</v>
      </c>
      <c r="G33">
        <v>0</v>
      </c>
      <c r="H33" t="s">
        <v>16</v>
      </c>
    </row>
    <row r="34" spans="1:8" x14ac:dyDescent="0.35">
      <c r="A34" t="s">
        <v>20</v>
      </c>
      <c r="B34" t="s">
        <v>57</v>
      </c>
      <c r="C34" t="s">
        <v>21</v>
      </c>
      <c r="D34" t="s">
        <v>29</v>
      </c>
      <c r="E34" s="1">
        <v>44198</v>
      </c>
      <c r="F34">
        <v>510477.2</v>
      </c>
      <c r="G34">
        <v>0</v>
      </c>
      <c r="H34" t="s">
        <v>18</v>
      </c>
    </row>
    <row r="35" spans="1:8" x14ac:dyDescent="0.35">
      <c r="A35" t="s">
        <v>44</v>
      </c>
      <c r="B35" t="s">
        <v>58</v>
      </c>
      <c r="C35" t="s">
        <v>62</v>
      </c>
      <c r="D35" t="s">
        <v>15</v>
      </c>
      <c r="E35" s="1">
        <v>43452</v>
      </c>
      <c r="F35">
        <v>0</v>
      </c>
      <c r="G35">
        <v>4</v>
      </c>
      <c r="H35" t="s">
        <v>10</v>
      </c>
    </row>
    <row r="36" spans="1:8" x14ac:dyDescent="0.35">
      <c r="A36" t="s">
        <v>45</v>
      </c>
      <c r="B36" t="s">
        <v>57</v>
      </c>
      <c r="C36" t="s">
        <v>21</v>
      </c>
      <c r="D36" t="s">
        <v>29</v>
      </c>
      <c r="E36" s="1">
        <v>43379</v>
      </c>
      <c r="F36">
        <v>436157.71</v>
      </c>
      <c r="G36">
        <v>0</v>
      </c>
      <c r="H36" t="s">
        <v>18</v>
      </c>
    </row>
    <row r="37" spans="1:8" x14ac:dyDescent="0.35">
      <c r="A37" t="s">
        <v>46</v>
      </c>
      <c r="B37" t="s">
        <v>58</v>
      </c>
      <c r="C37" t="s">
        <v>23</v>
      </c>
      <c r="D37" t="s">
        <v>15</v>
      </c>
      <c r="E37" s="1">
        <v>44752</v>
      </c>
      <c r="F37">
        <v>733387.69</v>
      </c>
      <c r="G37">
        <v>4</v>
      </c>
      <c r="H37" t="s">
        <v>16</v>
      </c>
    </row>
    <row r="38" spans="1:8" x14ac:dyDescent="0.35">
      <c r="A38" t="s">
        <v>28</v>
      </c>
      <c r="B38" t="s">
        <v>57</v>
      </c>
      <c r="C38" t="s">
        <v>26</v>
      </c>
      <c r="D38" t="s">
        <v>29</v>
      </c>
      <c r="E38" s="1">
        <v>43645</v>
      </c>
      <c r="F38">
        <v>315382.14</v>
      </c>
      <c r="G38">
        <v>5</v>
      </c>
      <c r="H38" t="s">
        <v>18</v>
      </c>
    </row>
    <row r="39" spans="1:8" x14ac:dyDescent="0.35">
      <c r="A39" t="s">
        <v>36</v>
      </c>
      <c r="B39" t="s">
        <v>27</v>
      </c>
      <c r="C39" t="s">
        <v>21</v>
      </c>
      <c r="D39" t="s">
        <v>15</v>
      </c>
      <c r="E39" s="1">
        <v>44370</v>
      </c>
      <c r="F39">
        <v>240566.86</v>
      </c>
      <c r="G39">
        <v>0</v>
      </c>
      <c r="H39" t="s">
        <v>10</v>
      </c>
    </row>
    <row r="40" spans="1:8" x14ac:dyDescent="0.35">
      <c r="A40" t="s">
        <v>31</v>
      </c>
      <c r="B40" t="s">
        <v>12</v>
      </c>
      <c r="C40" t="s">
        <v>62</v>
      </c>
      <c r="D40" t="s">
        <v>15</v>
      </c>
      <c r="E40" s="1">
        <v>44139</v>
      </c>
      <c r="F40">
        <v>509183.19</v>
      </c>
      <c r="G40">
        <v>2.8</v>
      </c>
      <c r="H40" t="s">
        <v>10</v>
      </c>
    </row>
    <row r="41" spans="1:8" x14ac:dyDescent="0.35">
      <c r="A41" t="s">
        <v>40</v>
      </c>
      <c r="B41" t="s">
        <v>59</v>
      </c>
      <c r="C41" t="s">
        <v>26</v>
      </c>
      <c r="D41" t="s">
        <v>13</v>
      </c>
      <c r="E41" s="1">
        <v>44396</v>
      </c>
      <c r="F41">
        <v>154971.03</v>
      </c>
      <c r="G41">
        <v>4</v>
      </c>
      <c r="H41" t="s">
        <v>16</v>
      </c>
    </row>
    <row r="42" spans="1:8" x14ac:dyDescent="0.35">
      <c r="A42" t="s">
        <v>36</v>
      </c>
      <c r="B42" t="s">
        <v>60</v>
      </c>
      <c r="C42" t="s">
        <v>26</v>
      </c>
      <c r="D42" t="s">
        <v>29</v>
      </c>
      <c r="E42" s="1">
        <v>43512</v>
      </c>
      <c r="F42">
        <v>0</v>
      </c>
      <c r="G42">
        <v>0</v>
      </c>
      <c r="H42" t="s">
        <v>10</v>
      </c>
    </row>
    <row r="43" spans="1:8" x14ac:dyDescent="0.35">
      <c r="A43" t="s">
        <v>40</v>
      </c>
      <c r="B43" t="s">
        <v>12</v>
      </c>
      <c r="C43" t="s">
        <v>62</v>
      </c>
      <c r="D43" t="s">
        <v>29</v>
      </c>
      <c r="E43" s="1">
        <v>44163</v>
      </c>
      <c r="F43">
        <v>314317.09000000003</v>
      </c>
      <c r="G43">
        <v>5</v>
      </c>
      <c r="H43" t="s">
        <v>10</v>
      </c>
    </row>
    <row r="44" spans="1:8" x14ac:dyDescent="0.35">
      <c r="A44" t="s">
        <v>24</v>
      </c>
      <c r="B44" t="s">
        <v>27</v>
      </c>
      <c r="C44" t="s">
        <v>21</v>
      </c>
      <c r="D44" t="s">
        <v>29</v>
      </c>
      <c r="E44" s="1">
        <v>43902</v>
      </c>
      <c r="F44">
        <v>719091.18</v>
      </c>
      <c r="G44">
        <v>3.5</v>
      </c>
      <c r="H44" t="s">
        <v>16</v>
      </c>
    </row>
    <row r="45" spans="1:8" x14ac:dyDescent="0.35">
      <c r="A45" t="s">
        <v>36</v>
      </c>
      <c r="B45" t="s">
        <v>55</v>
      </c>
      <c r="C45" t="s">
        <v>21</v>
      </c>
      <c r="D45" t="s">
        <v>15</v>
      </c>
      <c r="E45" s="1">
        <v>44322</v>
      </c>
      <c r="F45">
        <v>674254.26</v>
      </c>
      <c r="G45">
        <v>3.1</v>
      </c>
      <c r="H45" t="s">
        <v>16</v>
      </c>
    </row>
    <row r="46" spans="1:8" x14ac:dyDescent="0.35">
      <c r="A46" t="s">
        <v>8</v>
      </c>
      <c r="B46" t="s">
        <v>55</v>
      </c>
      <c r="C46" t="s">
        <v>23</v>
      </c>
      <c r="D46" t="s">
        <v>15</v>
      </c>
      <c r="E46" s="1">
        <v>43362</v>
      </c>
      <c r="F46">
        <v>380854.83</v>
      </c>
      <c r="G46">
        <v>0</v>
      </c>
      <c r="H46" t="s">
        <v>18</v>
      </c>
    </row>
    <row r="47" spans="1:8" x14ac:dyDescent="0.35">
      <c r="A47" t="s">
        <v>22</v>
      </c>
      <c r="B47" t="s">
        <v>58</v>
      </c>
      <c r="C47" t="s">
        <v>21</v>
      </c>
      <c r="D47" t="s">
        <v>29</v>
      </c>
      <c r="E47" s="1">
        <v>43275</v>
      </c>
      <c r="F47">
        <v>739490.64</v>
      </c>
      <c r="G47">
        <v>3.5</v>
      </c>
      <c r="H47" t="s">
        <v>10</v>
      </c>
    </row>
    <row r="48" spans="1:8" x14ac:dyDescent="0.35">
      <c r="A48" t="s">
        <v>17</v>
      </c>
      <c r="B48" t="s">
        <v>38</v>
      </c>
      <c r="C48" t="s">
        <v>61</v>
      </c>
      <c r="D48" t="s">
        <v>15</v>
      </c>
      <c r="E48" s="1">
        <v>44384</v>
      </c>
      <c r="F48">
        <v>271361.71000000002</v>
      </c>
      <c r="G48">
        <v>5</v>
      </c>
      <c r="H48" t="s">
        <v>10</v>
      </c>
    </row>
    <row r="49" spans="1:8" x14ac:dyDescent="0.35">
      <c r="A49" t="s">
        <v>11</v>
      </c>
      <c r="B49" t="s">
        <v>57</v>
      </c>
      <c r="C49" t="s">
        <v>26</v>
      </c>
      <c r="D49" t="s">
        <v>13</v>
      </c>
      <c r="E49" s="1">
        <v>43263</v>
      </c>
      <c r="F49">
        <v>354274.69</v>
      </c>
      <c r="G49">
        <v>5</v>
      </c>
      <c r="H49" t="s">
        <v>10</v>
      </c>
    </row>
    <row r="50" spans="1:8" x14ac:dyDescent="0.35">
      <c r="A50" t="s">
        <v>39</v>
      </c>
      <c r="B50" t="s">
        <v>9</v>
      </c>
      <c r="C50" t="s">
        <v>26</v>
      </c>
      <c r="D50" t="s">
        <v>15</v>
      </c>
      <c r="E50" s="1">
        <v>43677</v>
      </c>
      <c r="F50">
        <v>507753.17</v>
      </c>
      <c r="G50">
        <v>1.6</v>
      </c>
      <c r="H50" t="s">
        <v>16</v>
      </c>
    </row>
    <row r="51" spans="1:8" x14ac:dyDescent="0.35">
      <c r="A51" t="s">
        <v>34</v>
      </c>
      <c r="B51" t="s">
        <v>9</v>
      </c>
      <c r="C51" t="s">
        <v>23</v>
      </c>
      <c r="D51" t="s">
        <v>15</v>
      </c>
      <c r="E51" s="1">
        <v>44161</v>
      </c>
      <c r="F51">
        <v>264337.69</v>
      </c>
      <c r="G51">
        <v>3.5</v>
      </c>
      <c r="H51" t="s">
        <v>16</v>
      </c>
    </row>
    <row r="52" spans="1:8" x14ac:dyDescent="0.35">
      <c r="A52" t="s">
        <v>47</v>
      </c>
      <c r="B52" t="s">
        <v>57</v>
      </c>
      <c r="C52" t="s">
        <v>26</v>
      </c>
      <c r="D52" t="s">
        <v>13</v>
      </c>
      <c r="E52" s="1">
        <v>43257</v>
      </c>
      <c r="F52">
        <v>416139.86</v>
      </c>
      <c r="G52">
        <v>3.5</v>
      </c>
      <c r="H52" t="s">
        <v>10</v>
      </c>
    </row>
    <row r="53" spans="1:8" x14ac:dyDescent="0.35">
      <c r="A53" t="s">
        <v>48</v>
      </c>
      <c r="B53" t="s">
        <v>60</v>
      </c>
      <c r="C53" t="s">
        <v>26</v>
      </c>
      <c r="D53" t="s">
        <v>29</v>
      </c>
      <c r="E53" s="1">
        <v>43577</v>
      </c>
      <c r="F53">
        <v>686046.96</v>
      </c>
      <c r="G53">
        <v>4</v>
      </c>
      <c r="H53" t="s">
        <v>10</v>
      </c>
    </row>
    <row r="54" spans="1:8" x14ac:dyDescent="0.35">
      <c r="A54" t="s">
        <v>46</v>
      </c>
      <c r="B54" t="s">
        <v>59</v>
      </c>
      <c r="C54" t="s">
        <v>62</v>
      </c>
      <c r="D54" t="s">
        <v>13</v>
      </c>
      <c r="E54" s="1">
        <v>44546</v>
      </c>
      <c r="F54">
        <v>710594.74</v>
      </c>
      <c r="G54">
        <v>3.5</v>
      </c>
      <c r="H54" t="s">
        <v>10</v>
      </c>
    </row>
    <row r="55" spans="1:8" x14ac:dyDescent="0.35">
      <c r="A55" t="s">
        <v>49</v>
      </c>
      <c r="B55" t="s">
        <v>27</v>
      </c>
      <c r="C55" t="s">
        <v>26</v>
      </c>
      <c r="D55" t="s">
        <v>15</v>
      </c>
      <c r="E55" s="1">
        <v>44674</v>
      </c>
      <c r="F55">
        <v>0</v>
      </c>
      <c r="G55">
        <v>3.5</v>
      </c>
      <c r="H55" t="s">
        <v>16</v>
      </c>
    </row>
    <row r="56" spans="1:8" x14ac:dyDescent="0.35">
      <c r="A56" t="s">
        <v>42</v>
      </c>
      <c r="B56" t="s">
        <v>38</v>
      </c>
      <c r="C56" t="s">
        <v>26</v>
      </c>
      <c r="D56" t="s">
        <v>15</v>
      </c>
      <c r="E56" s="1">
        <v>44525</v>
      </c>
      <c r="F56">
        <v>598351.28</v>
      </c>
      <c r="G56">
        <v>3.5</v>
      </c>
      <c r="H56" t="s">
        <v>16</v>
      </c>
    </row>
    <row r="57" spans="1:8" x14ac:dyDescent="0.35">
      <c r="A57" t="s">
        <v>50</v>
      </c>
      <c r="B57" t="s">
        <v>38</v>
      </c>
      <c r="C57" t="s">
        <v>23</v>
      </c>
      <c r="D57" t="s">
        <v>13</v>
      </c>
      <c r="E57" s="1">
        <v>44226</v>
      </c>
      <c r="F57">
        <v>0</v>
      </c>
      <c r="G57">
        <v>5</v>
      </c>
      <c r="H57" t="s">
        <v>18</v>
      </c>
    </row>
    <row r="58" spans="1:8" x14ac:dyDescent="0.35">
      <c r="A58" t="s">
        <v>36</v>
      </c>
      <c r="B58" t="s">
        <v>55</v>
      </c>
      <c r="C58" t="s">
        <v>21</v>
      </c>
      <c r="D58" t="s">
        <v>15</v>
      </c>
      <c r="E58" s="1">
        <v>43561</v>
      </c>
      <c r="F58">
        <v>764894.8</v>
      </c>
      <c r="G58">
        <v>5</v>
      </c>
      <c r="H58" t="s">
        <v>16</v>
      </c>
    </row>
    <row r="59" spans="1:8" x14ac:dyDescent="0.35">
      <c r="A59" t="s">
        <v>11</v>
      </c>
      <c r="B59" t="s">
        <v>60</v>
      </c>
      <c r="C59" t="s">
        <v>62</v>
      </c>
      <c r="D59" t="s">
        <v>29</v>
      </c>
      <c r="E59" s="1">
        <v>44858</v>
      </c>
      <c r="F59">
        <v>316999.12</v>
      </c>
      <c r="G59">
        <v>4</v>
      </c>
      <c r="H59" t="s">
        <v>10</v>
      </c>
    </row>
    <row r="60" spans="1:8" x14ac:dyDescent="0.35">
      <c r="A60" t="s">
        <v>36</v>
      </c>
      <c r="B60" t="s">
        <v>12</v>
      </c>
      <c r="C60" t="s">
        <v>26</v>
      </c>
      <c r="D60" t="s">
        <v>29</v>
      </c>
      <c r="E60" s="1">
        <v>44096</v>
      </c>
      <c r="F60">
        <v>386456.51</v>
      </c>
      <c r="G60">
        <v>0</v>
      </c>
      <c r="H60" t="s">
        <v>10</v>
      </c>
    </row>
    <row r="61" spans="1:8" x14ac:dyDescent="0.35">
      <c r="A61" t="s">
        <v>22</v>
      </c>
      <c r="B61" t="s">
        <v>9</v>
      </c>
      <c r="C61" t="s">
        <v>23</v>
      </c>
      <c r="D61" t="s">
        <v>29</v>
      </c>
      <c r="E61" s="1">
        <v>44229</v>
      </c>
      <c r="F61">
        <v>499720.14</v>
      </c>
      <c r="G61">
        <v>5</v>
      </c>
      <c r="H61" t="s">
        <v>10</v>
      </c>
    </row>
    <row r="62" spans="1:8" x14ac:dyDescent="0.35">
      <c r="A62" t="s">
        <v>37</v>
      </c>
      <c r="B62" t="s">
        <v>9</v>
      </c>
      <c r="C62" t="s">
        <v>23</v>
      </c>
      <c r="D62" t="s">
        <v>15</v>
      </c>
      <c r="E62" s="1">
        <v>44637</v>
      </c>
      <c r="F62">
        <v>451511.37</v>
      </c>
      <c r="G62">
        <v>4</v>
      </c>
      <c r="H62" t="s">
        <v>18</v>
      </c>
    </row>
    <row r="63" spans="1:8" x14ac:dyDescent="0.35">
      <c r="A63" t="s">
        <v>20</v>
      </c>
      <c r="B63" t="s">
        <v>27</v>
      </c>
      <c r="C63" t="s">
        <v>23</v>
      </c>
      <c r="D63" t="s">
        <v>15</v>
      </c>
      <c r="E63" s="1">
        <v>43515</v>
      </c>
      <c r="F63">
        <v>484326.75</v>
      </c>
      <c r="G63">
        <v>5</v>
      </c>
      <c r="H63" t="s">
        <v>18</v>
      </c>
    </row>
    <row r="64" spans="1:8" x14ac:dyDescent="0.35">
      <c r="A64" t="s">
        <v>28</v>
      </c>
      <c r="B64" t="s">
        <v>27</v>
      </c>
      <c r="C64" t="s">
        <v>62</v>
      </c>
      <c r="D64" t="s">
        <v>13</v>
      </c>
      <c r="E64" s="1">
        <v>43357</v>
      </c>
      <c r="F64">
        <v>665849.57999999996</v>
      </c>
      <c r="G64">
        <v>3.5</v>
      </c>
      <c r="H64" t="s">
        <v>16</v>
      </c>
    </row>
    <row r="65" spans="1:8" x14ac:dyDescent="0.35">
      <c r="A65" t="s">
        <v>37</v>
      </c>
      <c r="B65" t="s">
        <v>9</v>
      </c>
      <c r="C65" t="s">
        <v>61</v>
      </c>
      <c r="D65" t="s">
        <v>29</v>
      </c>
      <c r="E65" s="1">
        <v>44195</v>
      </c>
      <c r="F65">
        <v>291386.59999999998</v>
      </c>
      <c r="G65">
        <v>3.5</v>
      </c>
      <c r="H65" t="s">
        <v>10</v>
      </c>
    </row>
    <row r="66" spans="1:8" x14ac:dyDescent="0.35">
      <c r="A66" t="s">
        <v>51</v>
      </c>
      <c r="B66" t="s">
        <v>12</v>
      </c>
      <c r="C66" t="s">
        <v>62</v>
      </c>
      <c r="D66" t="s">
        <v>15</v>
      </c>
      <c r="E66" s="1">
        <v>44893</v>
      </c>
      <c r="F66">
        <v>838877.7</v>
      </c>
      <c r="G66">
        <v>3.5</v>
      </c>
      <c r="H66" t="s">
        <v>18</v>
      </c>
    </row>
    <row r="67" spans="1:8" x14ac:dyDescent="0.35">
      <c r="A67" t="s">
        <v>17</v>
      </c>
      <c r="B67" t="s">
        <v>57</v>
      </c>
      <c r="C67" t="s">
        <v>62</v>
      </c>
      <c r="D67" t="s">
        <v>29</v>
      </c>
      <c r="E67" s="1">
        <v>43640</v>
      </c>
      <c r="F67">
        <v>234129.89</v>
      </c>
      <c r="G67">
        <v>5</v>
      </c>
      <c r="H67" t="s">
        <v>18</v>
      </c>
    </row>
    <row r="68" spans="1:8" x14ac:dyDescent="0.35">
      <c r="A68" t="s">
        <v>19</v>
      </c>
      <c r="B68" t="s">
        <v>12</v>
      </c>
      <c r="C68" t="s">
        <v>23</v>
      </c>
      <c r="D68" t="s">
        <v>29</v>
      </c>
      <c r="E68" s="1">
        <v>44006</v>
      </c>
      <c r="F68">
        <v>808879.07</v>
      </c>
      <c r="G68">
        <v>3.5</v>
      </c>
      <c r="H68" t="s">
        <v>16</v>
      </c>
    </row>
    <row r="69" spans="1:8" x14ac:dyDescent="0.35">
      <c r="A69" t="s">
        <v>52</v>
      </c>
      <c r="B69" t="s">
        <v>38</v>
      </c>
      <c r="C69" t="s">
        <v>21</v>
      </c>
      <c r="D69" t="s">
        <v>29</v>
      </c>
      <c r="E69" s="1">
        <v>44094</v>
      </c>
      <c r="F69">
        <v>325779.5</v>
      </c>
      <c r="G69">
        <v>4</v>
      </c>
      <c r="H69" t="s">
        <v>10</v>
      </c>
    </row>
    <row r="70" spans="1:8" x14ac:dyDescent="0.35">
      <c r="A70" t="s">
        <v>40</v>
      </c>
      <c r="B70" t="s">
        <v>9</v>
      </c>
      <c r="C70" t="s">
        <v>21</v>
      </c>
      <c r="D70" t="s">
        <v>29</v>
      </c>
      <c r="E70" s="1">
        <v>44972</v>
      </c>
      <c r="F70">
        <v>807792.26</v>
      </c>
      <c r="G70">
        <v>5</v>
      </c>
      <c r="H70" t="s">
        <v>18</v>
      </c>
    </row>
    <row r="71" spans="1:8" x14ac:dyDescent="0.35">
      <c r="A71" t="s">
        <v>53</v>
      </c>
      <c r="B71" t="s">
        <v>56</v>
      </c>
      <c r="C71" t="s">
        <v>21</v>
      </c>
      <c r="D71" t="s">
        <v>15</v>
      </c>
      <c r="E71" s="1">
        <v>44397</v>
      </c>
      <c r="F71">
        <v>476703.12</v>
      </c>
      <c r="G71">
        <v>0</v>
      </c>
      <c r="H71" t="s">
        <v>18</v>
      </c>
    </row>
    <row r="72" spans="1:8" x14ac:dyDescent="0.35">
      <c r="A72" t="s">
        <v>17</v>
      </c>
      <c r="B72" t="s">
        <v>12</v>
      </c>
      <c r="C72" t="s">
        <v>23</v>
      </c>
      <c r="D72" t="s">
        <v>13</v>
      </c>
      <c r="E72" s="1">
        <v>44201</v>
      </c>
      <c r="F72">
        <v>669798.6</v>
      </c>
      <c r="G72">
        <v>4</v>
      </c>
      <c r="H72" t="s">
        <v>18</v>
      </c>
    </row>
    <row r="73" spans="1:8" x14ac:dyDescent="0.35">
      <c r="A73" t="s">
        <v>36</v>
      </c>
      <c r="B73" t="s">
        <v>9</v>
      </c>
      <c r="C73" t="s">
        <v>21</v>
      </c>
      <c r="D73" t="s">
        <v>29</v>
      </c>
      <c r="E73" s="1">
        <v>43539</v>
      </c>
      <c r="F73">
        <v>717143.03</v>
      </c>
      <c r="G73">
        <v>2.1</v>
      </c>
      <c r="H73" t="s">
        <v>16</v>
      </c>
    </row>
    <row r="74" spans="1:8" x14ac:dyDescent="0.35">
      <c r="A74" t="s">
        <v>22</v>
      </c>
      <c r="B74" t="s">
        <v>58</v>
      </c>
      <c r="C74" t="s">
        <v>26</v>
      </c>
      <c r="D74" t="s">
        <v>13</v>
      </c>
      <c r="E74" s="1">
        <v>44562</v>
      </c>
      <c r="F74">
        <v>816851.2</v>
      </c>
      <c r="G74">
        <v>0</v>
      </c>
      <c r="H74" t="s">
        <v>16</v>
      </c>
    </row>
    <row r="75" spans="1:8" x14ac:dyDescent="0.35">
      <c r="A75" t="s">
        <v>50</v>
      </c>
      <c r="B75" t="s">
        <v>57</v>
      </c>
      <c r="C75" t="s">
        <v>23</v>
      </c>
      <c r="D75" t="s">
        <v>29</v>
      </c>
      <c r="E75" s="1">
        <v>44817</v>
      </c>
      <c r="F75">
        <v>728442.08</v>
      </c>
      <c r="G75">
        <v>3.5</v>
      </c>
      <c r="H75" t="s">
        <v>18</v>
      </c>
    </row>
    <row r="76" spans="1:8" x14ac:dyDescent="0.35">
      <c r="A76" t="s">
        <v>52</v>
      </c>
      <c r="B76" t="s">
        <v>27</v>
      </c>
      <c r="C76" t="s">
        <v>61</v>
      </c>
      <c r="D76" t="s">
        <v>13</v>
      </c>
      <c r="E76" s="1">
        <v>43159</v>
      </c>
      <c r="F76">
        <v>423185.34</v>
      </c>
      <c r="G76">
        <v>4</v>
      </c>
      <c r="H76" t="s">
        <v>10</v>
      </c>
    </row>
    <row r="77" spans="1:8" x14ac:dyDescent="0.35">
      <c r="A77" t="s">
        <v>14</v>
      </c>
      <c r="B77" t="s">
        <v>55</v>
      </c>
      <c r="C77" t="s">
        <v>23</v>
      </c>
      <c r="D77" t="s">
        <v>29</v>
      </c>
      <c r="E77" s="1">
        <v>43985</v>
      </c>
      <c r="F77">
        <v>165999.24</v>
      </c>
      <c r="G77">
        <v>1.2</v>
      </c>
      <c r="H77" t="s">
        <v>10</v>
      </c>
    </row>
    <row r="78" spans="1:8" x14ac:dyDescent="0.35">
      <c r="A78" t="s">
        <v>36</v>
      </c>
      <c r="B78" t="s">
        <v>38</v>
      </c>
      <c r="C78" t="s">
        <v>62</v>
      </c>
      <c r="D78" t="s">
        <v>15</v>
      </c>
      <c r="E78" s="1">
        <v>44807</v>
      </c>
      <c r="F78">
        <v>0</v>
      </c>
      <c r="G78">
        <v>5</v>
      </c>
      <c r="H78" t="s">
        <v>16</v>
      </c>
    </row>
    <row r="79" spans="1:8" x14ac:dyDescent="0.35">
      <c r="A79" t="s">
        <v>34</v>
      </c>
      <c r="B79" t="s">
        <v>27</v>
      </c>
      <c r="C79" t="s">
        <v>61</v>
      </c>
      <c r="D79" t="s">
        <v>15</v>
      </c>
      <c r="E79" s="1">
        <v>44681</v>
      </c>
      <c r="F79">
        <v>674184.71</v>
      </c>
      <c r="G79">
        <v>0</v>
      </c>
      <c r="H79" t="s">
        <v>16</v>
      </c>
    </row>
    <row r="80" spans="1:8" x14ac:dyDescent="0.35">
      <c r="A80" t="s">
        <v>54</v>
      </c>
      <c r="B80" t="s">
        <v>27</v>
      </c>
      <c r="C80" t="s">
        <v>26</v>
      </c>
      <c r="D80" t="s">
        <v>15</v>
      </c>
      <c r="E80" s="1">
        <v>44642</v>
      </c>
      <c r="F80">
        <v>302916.15000000002</v>
      </c>
      <c r="G80">
        <v>4</v>
      </c>
      <c r="H80" t="s">
        <v>16</v>
      </c>
    </row>
    <row r="81" spans="1:8" x14ac:dyDescent="0.35">
      <c r="A81" t="s">
        <v>36</v>
      </c>
      <c r="B81" t="s">
        <v>56</v>
      </c>
      <c r="C81" t="s">
        <v>23</v>
      </c>
      <c r="D81" t="s">
        <v>13</v>
      </c>
      <c r="E81" s="1">
        <v>43794</v>
      </c>
      <c r="F81">
        <v>0</v>
      </c>
      <c r="G81">
        <v>5</v>
      </c>
      <c r="H81" t="s">
        <v>16</v>
      </c>
    </row>
    <row r="82" spans="1:8" x14ac:dyDescent="0.35">
      <c r="A82" t="s">
        <v>22</v>
      </c>
      <c r="B82" t="s">
        <v>57</v>
      </c>
      <c r="C82" t="s">
        <v>62</v>
      </c>
      <c r="D82" t="s">
        <v>13</v>
      </c>
      <c r="E82" s="1">
        <v>43365</v>
      </c>
      <c r="F82">
        <v>517268.61</v>
      </c>
      <c r="G82">
        <v>4.5</v>
      </c>
      <c r="H82" t="s">
        <v>10</v>
      </c>
    </row>
    <row r="83" spans="1:8" x14ac:dyDescent="0.35">
      <c r="A83" t="s">
        <v>43</v>
      </c>
      <c r="B83" t="s">
        <v>57</v>
      </c>
      <c r="C83" t="s">
        <v>61</v>
      </c>
      <c r="D83" t="s">
        <v>15</v>
      </c>
      <c r="E83" s="1">
        <v>44767</v>
      </c>
      <c r="F83">
        <v>304181.40999999997</v>
      </c>
      <c r="G83">
        <v>3.5</v>
      </c>
      <c r="H83" t="s">
        <v>18</v>
      </c>
    </row>
    <row r="84" spans="1:8" x14ac:dyDescent="0.35">
      <c r="A84" t="s">
        <v>43</v>
      </c>
      <c r="B84" t="s">
        <v>58</v>
      </c>
      <c r="C84" t="s">
        <v>23</v>
      </c>
      <c r="D84" t="s">
        <v>13</v>
      </c>
      <c r="E84" s="1">
        <v>43742</v>
      </c>
      <c r="F84">
        <v>349350.07</v>
      </c>
      <c r="G84">
        <v>2.4</v>
      </c>
      <c r="H84" t="s">
        <v>18</v>
      </c>
    </row>
    <row r="85" spans="1:8" x14ac:dyDescent="0.35">
      <c r="A85" t="s">
        <v>17</v>
      </c>
      <c r="B85" t="s">
        <v>57</v>
      </c>
      <c r="C85" t="s">
        <v>26</v>
      </c>
      <c r="D85" t="s">
        <v>29</v>
      </c>
      <c r="E85" s="1">
        <v>43461</v>
      </c>
      <c r="F85">
        <v>566559.6</v>
      </c>
      <c r="G85">
        <v>2.2999999999999998</v>
      </c>
      <c r="H85" t="s">
        <v>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pivot 2</vt:lpstr>
      <vt:lpstr>Employee_Performance_Raw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Kosara .C.U</cp:lastModifiedBy>
  <dcterms:created xsi:type="dcterms:W3CDTF">2026-02-23T17:54:58Z</dcterms:created>
  <dcterms:modified xsi:type="dcterms:W3CDTF">2026-04-19T11:34:49Z</dcterms:modified>
</cp:coreProperties>
</file>